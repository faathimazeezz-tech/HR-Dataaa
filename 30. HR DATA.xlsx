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kill\OneDrive\Desktop\excel files\"/>
    </mc:Choice>
  </mc:AlternateContent>
  <xr:revisionPtr revIDLastSave="0" documentId="13_ncr:1_{096BC5D3-A4D4-4305-B779-EF66D32CE5C1}" xr6:coauthVersionLast="47" xr6:coauthVersionMax="47" xr10:uidLastSave="{00000000-0000-0000-0000-000000000000}"/>
  <bookViews>
    <workbookView xWindow="-108" yWindow="-108" windowWidth="23256" windowHeight="12456" activeTab="3" xr2:uid="{408BA6AB-5196-496B-9C80-B057CC378CDA}"/>
  </bookViews>
  <sheets>
    <sheet name="pivot" sheetId="3" r:id="rId1"/>
    <sheet name="data" sheetId="1" r:id="rId2"/>
    <sheet name="DASHBOARD" sheetId="2" r:id="rId3"/>
    <sheet name="Sheet1" sheetId="4" r:id="rId4"/>
  </sheets>
  <definedNames>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5" i="3" l="1"/>
  <c r="N17" i="3"/>
  <c r="V15" i="3"/>
  <c r="I15" i="3"/>
  <c r="V18" i="3"/>
  <c r="V14" i="3"/>
  <c r="E14" i="3"/>
  <c r="N16" i="3"/>
  <c r="I18" i="3"/>
  <c r="S18" i="3"/>
  <c r="I14" i="3"/>
  <c r="E13" i="3"/>
  <c r="B11" i="3"/>
  <c r="E17" i="3"/>
  <c r="I21" i="3"/>
  <c r="F17" i="3"/>
  <c r="S17" i="3"/>
  <c r="S15" i="3"/>
  <c r="I22" i="3"/>
  <c r="F15" i="3"/>
  <c r="V16" i="3"/>
  <c r="S16" i="3"/>
  <c r="E16" i="3"/>
  <c r="N15" i="3"/>
  <c r="F13" i="3"/>
  <c r="B12" i="3"/>
  <c r="F16" i="3"/>
  <c r="Y16" i="3"/>
  <c r="Y14" i="3"/>
  <c r="V17" i="3"/>
  <c r="E15" i="3"/>
  <c r="B13" i="3"/>
  <c r="F14" i="3"/>
  <c r="I16" i="3"/>
  <c r="S14" i="3"/>
  <c r="I17" i="3"/>
  <c r="Y17" i="3"/>
  <c r="Y18" i="3"/>
  <c r="S19" i="3" l="1"/>
  <c r="Y19" i="3"/>
  <c r="F18" i="3"/>
  <c r="O15" i="3"/>
  <c r="P15" i="3" s="1"/>
  <c r="N18" i="3"/>
  <c r="J22" i="3"/>
  <c r="I23" i="3"/>
  <c r="J21" i="3"/>
  <c r="B14" i="3"/>
  <c r="E18" i="3"/>
  <c r="I19" i="3"/>
  <c r="O16" i="3"/>
  <c r="P16" i="3" s="1"/>
  <c r="V19" i="3"/>
  <c r="O17" i="3"/>
  <c r="P17" i="3" s="1"/>
</calcChain>
</file>

<file path=xl/sharedStrings.xml><?xml version="1.0" encoding="utf-8"?>
<sst xmlns="http://schemas.openxmlformats.org/spreadsheetml/2006/main" count="906" uniqueCount="260">
  <si>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</si>
  <si>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</si>
  <si>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</si>
  <si>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</si>
  <si>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</si>
  <si>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</si>
  <si>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</si>
  <si>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</si>
  <si>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</si>
  <si>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</si>
  <si>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</si>
  <si>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</si>
  <si>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</si>
  <si>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</si>
  <si>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</si>
  <si>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</si>
  <si>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</si>
  <si>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</si>
  <si>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</si>
  <si>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</si>
  <si>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</si>
  <si>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</si>
  <si>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</si>
  <si>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</si>
  <si>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</si>
  <si>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</si>
  <si>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</si>
  <si>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</si>
  <si>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</si>
  <si>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</si>
  <si>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</si>
  <si>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</si>
  <si>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</si>
  <si>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</si>
  <si>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</si>
  <si>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</si>
  <si>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</si>
  <si>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</si>
  <si>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</si>
  <si>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</si>
  <si>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</si>
  <si>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</si>
  <si>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</si>
  <si>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</si>
  <si>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</si>
  <si>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</si>
  <si>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</si>
  <si>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</si>
  <si>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</si>
  <si>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</si>
  <si>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</si>
  <si>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</si>
  <si>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</si>
  <si>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</si>
  <si>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</si>
  <si>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</si>
  <si>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</si>
  <si>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</si>
  <si>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</si>
  <si>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</si>
  <si>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</si>
  <si>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</si>
  <si>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</si>
  <si>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</si>
  <si>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</si>
  <si>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</si>
  <si>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</si>
  <si>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</si>
  <si>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</si>
  <si>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</si>
  <si>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</si>
  <si>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</si>
  <si>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</si>
  <si>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</si>
  <si>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</si>
  <si>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</si>
  <si>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</si>
  <si>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</si>
  <si>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</si>
  <si>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</si>
  <si>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</si>
  <si>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</si>
  <si>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</si>
  <si>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</si>
  <si>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</si>
  <si>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</si>
  <si>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</si>
  <si>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</si>
  <si>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</si>
  <si>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</si>
  <si>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</si>
  <si>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</si>
  <si>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</si>
  <si>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</si>
  <si>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</si>
  <si>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</si>
  <si>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</si>
  <si>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</si>
  <si>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</si>
  <si>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</si>
  <si>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</si>
  <si>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</si>
  <si>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</si>
  <si>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</si>
  <si>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</si>
  <si>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</si>
  <si>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</si>
  <si>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</si>
  <si>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</si>
  <si>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</si>
  <si>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</si>
  <si>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</si>
  <si>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</si>
  <si>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</si>
  <si>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</si>
  <si>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</si>
  <si>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</si>
  <si>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</si>
  <si>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</si>
  <si>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</si>
  <si>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</si>
  <si>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</si>
  <si>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</si>
  <si>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</si>
  <si>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</si>
  <si>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</si>
  <si>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</si>
  <si>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</si>
  <si>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</si>
  <si>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</si>
  <si>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</si>
  <si>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</si>
  <si>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</si>
  <si>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</si>
  <si>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</si>
  <si>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</si>
  <si>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</si>
  <si>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</si>
  <si>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</si>
  <si>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</si>
  <si>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</si>
  <si>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</si>
  <si>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</si>
  <si>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</si>
  <si>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</si>
  <si>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</si>
  <si>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</si>
  <si>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</si>
  <si>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</si>
  <si>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</si>
  <si>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</si>
  <si>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</si>
  <si>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</si>
  <si>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</si>
  <si>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</si>
  <si>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</si>
  <si>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</si>
  <si>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</si>
  <si>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</si>
  <si>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</si>
  <si>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</si>
  <si>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</si>
  <si>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</si>
  <si>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</si>
  <si>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</si>
  <si>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</si>
  <si>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</si>
  <si>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</si>
  <si>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</si>
  <si>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</si>
  <si>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</si>
  <si>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</si>
  <si>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</si>
  <si>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</si>
  <si>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</si>
  <si>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</si>
  <si>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</si>
  <si>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</si>
  <si>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</si>
  <si>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</si>
  <si>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</si>
  <si>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</si>
  <si>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</si>
  <si>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</si>
  <si>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</si>
  <si>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</si>
  <si>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</si>
  <si>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</si>
  <si>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</si>
  <si>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</si>
  <si>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</si>
  <si>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</si>
  <si>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</si>
  <si>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</si>
  <si>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</si>
  <si>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</si>
  <si>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</si>
  <si>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</si>
  <si>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</si>
  <si>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</si>
  <si>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</si>
  <si>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</si>
  <si>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</si>
  <si>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</si>
  <si>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</si>
  <si>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</si>
  <si>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</si>
  <si>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</si>
  <si>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</si>
  <si>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</si>
  <si>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</si>
  <si>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</si>
  <si>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</si>
  <si>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</si>
  <si>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</si>
  <si>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</si>
  <si>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</si>
  <si>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vs employment status</t>
  </si>
  <si>
    <t>total</t>
  </si>
  <si>
    <t>Sum of Salary</t>
  </si>
  <si>
    <t>salary vs job titles</t>
  </si>
  <si>
    <t>Column Labels</t>
  </si>
  <si>
    <t>Count of Age range</t>
  </si>
  <si>
    <t>Age group to gender</t>
  </si>
  <si>
    <t>male</t>
  </si>
  <si>
    <t>female</t>
  </si>
  <si>
    <t>work place</t>
  </si>
  <si>
    <t>skill</t>
  </si>
  <si>
    <t>Sum of Leave Taken</t>
  </si>
  <si>
    <t>Average of Performance Rating</t>
  </si>
  <si>
    <t>🔹 Employee Summary (Top KPIs)</t>
  </si>
  <si>
    <t>1. Total Employees → KPI Card</t>
  </si>
  <si>
    <t>2. Male Count → KPI Card</t>
  </si>
  <si>
    <t>3. Female Count → KPI Card</t>
  </si>
  <si>
    <t>4. Average Performance Rating → KPI Card</t>
  </si>
  <si>
    <t>🔹 Skill Breakdown</t>
  </si>
  <si>
    <t>5. Skill Breakdown → Horizontal Bar Chart</t>
  </si>
  <si>
    <t>👉 easy comparison between skills</t>
  </si>
  <si>
    <t>🔹 Leave Tracking (By Job Title)</t>
  </si>
  <si>
    <t>6. Leave Taken by Job Title → Clustered Column Chart</t>
  </si>
  <si>
    <t>👉 compare multiple roles side-by-side</t>
  </si>
  <si>
    <t>🔹 Regions</t>
  </si>
  <si>
    <t>7. Employees per Region → Horizontal Bar Chart</t>
  </si>
  <si>
    <t>👉 better for long region names</t>
  </si>
  <si>
    <t>🔹 Work Location</t>
  </si>
  <si>
    <t>8. Branch / Head Office / Remote → 100% Stacked Bar (or Progress Bar style)</t>
  </si>
  <si>
    <t>👉 shows percentage clearly</t>
  </si>
  <si>
    <t>🔹 Age Range</t>
  </si>
  <si>
    <t>9. Age Range by Gender → Clustered Column Chart</t>
  </si>
  <si>
    <t>👉 Male vs Female comparison in each age group</t>
  </si>
  <si>
    <t>🔹 Salaries</t>
  </si>
  <si>
    <t>10. Total Salary → KPI Card</t>
  </si>
  <si>
    <t>11. Salary by Job Title → Horizontal Bar Chart or Table + Data Bars</t>
  </si>
  <si>
    <t>👉 ranking style</t>
  </si>
  <si>
    <t>🔹 Employment Status</t>
  </si>
  <si>
    <t>12. Full Time / Part Time / Contract → Donut Chart</t>
  </si>
  <si>
    <t>👉 shows proportion/share</t>
  </si>
  <si>
    <t>🔹 Filters (Top Buttons)</t>
  </si>
  <si>
    <t>13. Gender → Slicer</t>
  </si>
  <si>
    <t>14. Department →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</si>
</sst>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b/>
      <sz val="11"/>
      <color theme="1"/>
      <name val="Aptos Narrow"/>
      <family val="2"/>
      <scheme val="minor"/>
    </font>
    <font>
      <u/>
      <sz val="11"/>
      <color theme="1"/>
      <name val="Kulim park"/>
    </font>
    <font>
      <b/>
      <sz val="13.5"/>
      <color theme="1"/>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tint="0.499984740745262"/>
        <bgColor indexed="64"/>
      </patternFill>
    </fill>
  </fills>
  <borders count="2">
    <border>
      <left/>
      <right/>
      <top/>
      <bottom/>
      <diagonal/>
    </border>
    <border>
      <left/>
      <right/>
      <top style="thin">
        <color theme="1" tint="0.499984740745262"/>
      </top>
      <bottom style="thin">
        <color theme="1" tint="0.499984740745262"/>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5" fillId="2" borderId="0" xfId="0" applyFont="1" applyFill="1" applyAlignment="1">
      <alignment horizontal="center"/>
    </xf>
    <xf numFmtId="0" fontId="2" fillId="2" borderId="0" xfId="0" applyFont="1" applyFill="1" applyAlignment="1">
      <alignment horizontal="center"/>
    </xf>
    <xf numFmtId="0" fontId="0" fillId="0" borderId="0" xfId="0" pivotButton="1"/>
    <xf numFmtId="0" fontId="0" fillId="0" borderId="0" xfId="0" applyAlignment="1">
      <alignment horizontal="left"/>
    </xf>
    <xf numFmtId="0" fontId="0" fillId="3" borderId="0" xfId="0" applyFill="1" applyAlignment="1">
      <alignment horizontal="center"/>
    </xf>
    <xf numFmtId="9" fontId="4" fillId="0" borderId="0" xfId="0" applyNumberFormat="1" applyFont="1"/>
    <xf numFmtId="9" fontId="0" fillId="0" borderId="0" xfId="0" applyNumberFormat="1"/>
    <xf numFmtId="2" fontId="0" fillId="0" borderId="0" xfId="0" applyNumberFormat="1"/>
    <xf numFmtId="164" fontId="0" fillId="0" borderId="0" xfId="0" applyNumberFormat="1"/>
    <xf numFmtId="0" fontId="0" fillId="3" borderId="0" xfId="0" applyFill="1" applyAlignment="1">
      <alignment horizontal="center"/>
    </xf>
    <xf numFmtId="0" fontId="6" fillId="0" borderId="0" xfId="0" applyFont="1" applyAlignment="1">
      <alignment vertical="center"/>
    </xf>
    <xf numFmtId="0" fontId="0" fillId="0" borderId="0" xfId="0" applyAlignment="1">
      <alignment horizontal="left" vertical="center" indent="1"/>
    </xf>
  </cellXfs>
  <cellStyles count="1">
    <cellStyle name="Normal" xfId="0" builtinId="0"/>
  </cellStyles>
  <dxfs count="30">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numFmt numFmtId="2" formatCode="0.00"/>
    </dxf>
    <dxf>
      <font>
        <b/>
        <i val="0"/>
        <sz val="10"/>
        <color theme="0"/>
      </font>
      <fill>
        <patternFill>
          <bgColor theme="1" tint="0.24994659260841701"/>
        </patternFill>
      </fill>
    </dxf>
    <dxf>
      <font>
        <sz val="11"/>
      </font>
      <fill>
        <patternFill>
          <bgColor theme="1" tint="0.24994659260841701"/>
        </patternFill>
      </fill>
    </dxf>
    <dxf>
      <font>
        <color theme="0"/>
      </font>
      <fill>
        <patternFill>
          <bgColor theme="1"/>
        </patternFill>
      </fill>
    </dxf>
    <dxf>
      <font>
        <sz val="14"/>
        <color theme="0"/>
      </font>
      <fill>
        <patternFill>
          <bgColor theme="1" tint="0.14996795556505021"/>
        </patternFill>
      </fill>
    </dxf>
    <dxf>
      <fill>
        <patternFill>
          <bgColor rgb="FFFFC000"/>
        </patternFill>
      </fill>
    </dxf>
    <dxf>
      <font>
        <name val="Amasis MT Pro Medium"/>
        <family val="1"/>
        <scheme val="none"/>
      </font>
      <fill>
        <patternFill>
          <bgColor theme="1" tint="0.24994659260841701"/>
        </patternFill>
      </fill>
    </dxf>
  </dxfs>
  <tableStyles count="3" defaultTableStyle="TableStyleMedium2" defaultPivotStyle="PivotStyleLight16">
    <tableStyle name="Slicer Style 1" pivot="0" table="0" count="4" xr9:uid="{C6E61A5D-D3CD-48E5-9512-7F6402FF1D9F}">
      <tableStyleElement type="wholeTable" dxfId="29"/>
      <tableStyleElement type="headerRow" dxfId="28"/>
    </tableStyle>
    <tableStyle name="Slicer Style 2" pivot="0" table="0" count="4" xr9:uid="{65BCFCB7-D109-48CD-A5A5-08EA1586B802}">
      <tableStyleElement type="wholeTable" dxfId="27"/>
      <tableStyleElement type="headerRow" dxfId="26"/>
    </tableStyle>
    <tableStyle name="Slicer Style 3" pivot="0" table="0" count="4" xr9:uid="{D03EE63E-76CB-4185-801C-515A1C735CCA}">
      <tableStyleElement type="wholeTable" dxfId="25"/>
      <tableStyleElement type="headerRow" dxfId="24"/>
    </tableStyle>
  </tableStyles>
  <colors>
    <mruColors>
      <color rgb="FF246655"/>
      <color rgb="FF282828"/>
      <color rgb="FF151515"/>
    </mruColors>
  </colors>
  <extLst>
    <ext xmlns:x14="http://schemas.microsoft.com/office/spreadsheetml/2009/9/main" uri="{46F421CA-312F-682f-3DD2-61675219B42D}">
      <x14:dxfs count="6">
        <dxf>
          <font>
            <b/>
            <i val="0"/>
            <sz val="9"/>
            <color theme="0"/>
          </font>
          <fill>
            <patternFill>
              <bgColor theme="0" tint="-0.499984740745262"/>
            </patternFill>
          </fill>
        </dxf>
        <dxf>
          <font>
            <b/>
            <i val="0"/>
            <sz val="9"/>
            <color theme="0"/>
          </font>
          <fill>
            <patternFill>
              <bgColor rgb="FFFFC000"/>
            </patternFill>
          </fill>
        </dxf>
        <dxf>
          <font>
            <sz val="12"/>
            <color theme="1"/>
          </font>
          <fill>
            <patternFill>
              <bgColor theme="0" tint="-0.14996795556505021"/>
            </patternFill>
          </fill>
        </dxf>
        <dxf>
          <font>
            <sz val="12"/>
            <color theme="1"/>
          </font>
          <fill>
            <patternFill>
              <bgColor rgb="FFFFC000"/>
            </patternFill>
          </fill>
        </dxf>
        <dxf>
          <fill>
            <patternFill>
              <bgColor theme="0" tint="-4.9989318521683403E-2"/>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 type="selectedItemWithNoData" dxfId="4"/>
          </x14:slicerStyleElements>
        </x14:slicerStyle>
        <x14:slicerStyle name="Slicer Style 2">
          <x14:slicerStyleElements>
            <x14:slicerStyleElement type="selectedItemWithData" dxfId="3"/>
            <x14:slicerStyleElement type="selectedItemWithNoData" dxfId="2"/>
          </x14:slicerStyleElements>
        </x14:slicerStyle>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FFC000"/>
              </a:solidFill>
              <a:ln w="19050">
                <a:noFill/>
              </a:ln>
              <a:effectLst>
                <a:softEdge rad="38100"/>
              </a:effectLst>
            </c:spPr>
            <c:extLst>
              <c:ext xmlns:c16="http://schemas.microsoft.com/office/drawing/2014/chart" uri="{C3380CC4-5D6E-409C-BE32-E72D297353CC}">
                <c16:uniqueId val="{00000001-AB21-4D2F-821E-31A02140C4A3}"/>
              </c:ext>
            </c:extLst>
          </c:dPt>
          <c:dPt>
            <c:idx val="1"/>
            <c:bubble3D val="0"/>
            <c:spPr>
              <a:solidFill>
                <a:schemeClr val="tx1">
                  <a:lumMod val="65000"/>
                  <a:lumOff val="35000"/>
                </a:schemeClr>
              </a:solidFill>
              <a:ln w="19050">
                <a:noFill/>
              </a:ln>
              <a:effectLst>
                <a:softEdge rad="38100"/>
              </a:effectLst>
            </c:spPr>
            <c:extLst>
              <c:ext xmlns:c16="http://schemas.microsoft.com/office/drawing/2014/chart" uri="{C3380CC4-5D6E-409C-BE32-E72D297353CC}">
                <c16:uniqueId val="{00000003-AB21-4D2F-821E-31A02140C4A3}"/>
              </c:ext>
            </c:extLst>
          </c:dPt>
          <c:dPt>
            <c:idx val="2"/>
            <c:bubble3D val="0"/>
            <c:spPr>
              <a:solidFill>
                <a:schemeClr val="bg1">
                  <a:lumMod val="95000"/>
                </a:schemeClr>
              </a:solidFill>
              <a:ln w="19050">
                <a:noFill/>
              </a:ln>
              <a:effectLst>
                <a:softEdge rad="25400"/>
              </a:effectLst>
            </c:spPr>
            <c:extLst>
              <c:ext xmlns:c16="http://schemas.microsoft.com/office/drawing/2014/chart" uri="{C3380CC4-5D6E-409C-BE32-E72D297353CC}">
                <c16:uniqueId val="{00000005-AB21-4D2F-821E-31A02140C4A3}"/>
              </c:ext>
            </c:extLst>
          </c:dPt>
          <c:cat>
            <c:strRef>
              <c:f>pivot!$A$11:$A$13</c:f>
              <c:strCache>
                <c:ptCount val="3"/>
                <c:pt idx="0">
                  <c:v>Contract</c:v>
                </c:pt>
                <c:pt idx="1">
                  <c:v>Full-Time</c:v>
                </c:pt>
                <c:pt idx="2">
                  <c:v>Part-Time</c:v>
                </c:pt>
              </c:strCache>
            </c:strRef>
          </c:cat>
          <c:val>
            <c:numRef>
              <c:f>pivot!$B$11:$B$13</c:f>
              <c:numCache>
                <c:formatCode>General</c:formatCode>
                <c:ptCount val="3"/>
                <c:pt idx="0">
                  <c:v>17</c:v>
                </c:pt>
                <c:pt idx="1">
                  <c:v>20</c:v>
                </c:pt>
                <c:pt idx="2">
                  <c:v>13</c:v>
                </c:pt>
              </c:numCache>
            </c:numRef>
          </c:val>
          <c:extLst>
            <c:ext xmlns:c16="http://schemas.microsoft.com/office/drawing/2014/chart" uri="{C3380CC4-5D6E-409C-BE32-E72D297353CC}">
              <c16:uniqueId val="{00000006-AB21-4D2F-821E-31A02140C4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 HR DATA.xlsx]pivot!PivotTable5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81620501363483E-2"/>
          <c:y val="0.17521037620567617"/>
          <c:w val="0.90138948167769573"/>
          <c:h val="0.68017371072389043"/>
        </c:manualLayout>
      </c:layout>
      <c:barChart>
        <c:barDir val="col"/>
        <c:grouping val="clustered"/>
        <c:varyColors val="0"/>
        <c:ser>
          <c:idx val="0"/>
          <c:order val="0"/>
          <c:tx>
            <c:strRef>
              <c:f>pivot!$I$4:$I$5</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pivot!$H$6:$H$11</c:f>
              <c:strCache>
                <c:ptCount val="5"/>
                <c:pt idx="0">
                  <c:v>18-25</c:v>
                </c:pt>
                <c:pt idx="1">
                  <c:v>26-35</c:v>
                </c:pt>
                <c:pt idx="2">
                  <c:v>36-45</c:v>
                </c:pt>
                <c:pt idx="3">
                  <c:v>46-55</c:v>
                </c:pt>
                <c:pt idx="4">
                  <c:v>56 &lt;</c:v>
                </c:pt>
              </c:strCache>
            </c:strRef>
          </c:cat>
          <c:val>
            <c:numRef>
              <c:f>pivot!$I$6:$I$11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40BB-4AC8-B935-0B15D3CA3DAC}"/>
            </c:ext>
          </c:extLst>
        </c:ser>
        <c:ser>
          <c:idx val="1"/>
          <c:order val="1"/>
          <c:tx>
            <c:strRef>
              <c:f>pivot!$J$4:$J$5</c:f>
              <c:strCache>
                <c:ptCount val="1"/>
                <c:pt idx="0">
                  <c:v>Male</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pivot!$H$6:$H$11</c:f>
              <c:strCache>
                <c:ptCount val="5"/>
                <c:pt idx="0">
                  <c:v>18-25</c:v>
                </c:pt>
                <c:pt idx="1">
                  <c:v>26-35</c:v>
                </c:pt>
                <c:pt idx="2">
                  <c:v>36-45</c:v>
                </c:pt>
                <c:pt idx="3">
                  <c:v>46-55</c:v>
                </c:pt>
                <c:pt idx="4">
                  <c:v>56 &lt;</c:v>
                </c:pt>
              </c:strCache>
            </c:strRef>
          </c:cat>
          <c:val>
            <c:numRef>
              <c:f>pivot!$J$6:$J$11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EC15-4D1E-B27B-F63C0631AC8F}"/>
            </c:ext>
          </c:extLst>
        </c:ser>
        <c:dLbls>
          <c:dLblPos val="outEnd"/>
          <c:showLegendKey val="0"/>
          <c:showVal val="1"/>
          <c:showCatName val="0"/>
          <c:showSerName val="0"/>
          <c:showPercent val="0"/>
          <c:showBubbleSize val="0"/>
        </c:dLbls>
        <c:gapWidth val="219"/>
        <c:overlap val="-27"/>
        <c:axId val="376209136"/>
        <c:axId val="376207696"/>
      </c:barChart>
      <c:catAx>
        <c:axId val="3762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6207696"/>
        <c:crosses val="autoZero"/>
        <c:auto val="1"/>
        <c:lblAlgn val="ctr"/>
        <c:lblOffset val="100"/>
        <c:noMultiLvlLbl val="0"/>
      </c:catAx>
      <c:valAx>
        <c:axId val="376207696"/>
        <c:scaling>
          <c:orientation val="minMax"/>
        </c:scaling>
        <c:delete val="1"/>
        <c:axPos val="l"/>
        <c:numFmt formatCode="General" sourceLinked="1"/>
        <c:majorTickMark val="none"/>
        <c:minorTickMark val="none"/>
        <c:tickLblPos val="nextTo"/>
        <c:crossAx val="37620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pivot!$O$15</c:f>
              <c:numCache>
                <c:formatCode>0%</c:formatCode>
                <c:ptCount val="1"/>
                <c:pt idx="0">
                  <c:v>0.46</c:v>
                </c:pt>
              </c:numCache>
            </c:numRef>
          </c:val>
          <c:extLst>
            <c:ext xmlns:c16="http://schemas.microsoft.com/office/drawing/2014/chart" uri="{C3380CC4-5D6E-409C-BE32-E72D297353CC}">
              <c16:uniqueId val="{00000000-2BC7-405B-9AE8-28095171DEE2}"/>
            </c:ext>
          </c:extLst>
        </c:ser>
        <c:ser>
          <c:idx val="1"/>
          <c:order val="1"/>
          <c:spPr>
            <a:solidFill>
              <a:schemeClr val="bg1">
                <a:lumMod val="95000"/>
              </a:schemeClr>
            </a:solidFill>
            <a:ln>
              <a:noFill/>
            </a:ln>
            <a:effectLst/>
          </c:spPr>
          <c:invertIfNegative val="0"/>
          <c:val>
            <c:numRef>
              <c:f>pivot!$P$15</c:f>
              <c:numCache>
                <c:formatCode>0%</c:formatCode>
                <c:ptCount val="1"/>
                <c:pt idx="0">
                  <c:v>0.54</c:v>
                </c:pt>
              </c:numCache>
            </c:numRef>
          </c:val>
          <c:extLst>
            <c:ext xmlns:c16="http://schemas.microsoft.com/office/drawing/2014/chart" uri="{C3380CC4-5D6E-409C-BE32-E72D297353CC}">
              <c16:uniqueId val="{00000001-2BC7-405B-9AE8-28095171DEE2}"/>
            </c:ext>
          </c:extLst>
        </c:ser>
        <c:dLbls>
          <c:showLegendKey val="0"/>
          <c:showVal val="0"/>
          <c:showCatName val="0"/>
          <c:showSerName val="0"/>
          <c:showPercent val="0"/>
          <c:showBubbleSize val="0"/>
        </c:dLbls>
        <c:gapWidth val="150"/>
        <c:overlap val="100"/>
        <c:axId val="84143680"/>
        <c:axId val="84144640"/>
      </c:barChart>
      <c:catAx>
        <c:axId val="84143680"/>
        <c:scaling>
          <c:orientation val="minMax"/>
        </c:scaling>
        <c:delete val="1"/>
        <c:axPos val="l"/>
        <c:majorTickMark val="none"/>
        <c:minorTickMark val="none"/>
        <c:tickLblPos val="nextTo"/>
        <c:crossAx val="84144640"/>
        <c:crosses val="autoZero"/>
        <c:auto val="1"/>
        <c:lblAlgn val="ctr"/>
        <c:lblOffset val="100"/>
        <c:noMultiLvlLbl val="0"/>
      </c:catAx>
      <c:valAx>
        <c:axId val="84144640"/>
        <c:scaling>
          <c:orientation val="minMax"/>
        </c:scaling>
        <c:delete val="1"/>
        <c:axPos val="b"/>
        <c:numFmt formatCode="0%" sourceLinked="1"/>
        <c:majorTickMark val="none"/>
        <c:minorTickMark val="none"/>
        <c:tickLblPos val="nextTo"/>
        <c:crossAx val="841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pivot!$O$16</c:f>
              <c:numCache>
                <c:formatCode>0%</c:formatCode>
                <c:ptCount val="1"/>
                <c:pt idx="0">
                  <c:v>0.16</c:v>
                </c:pt>
              </c:numCache>
            </c:numRef>
          </c:val>
          <c:extLst>
            <c:ext xmlns:c16="http://schemas.microsoft.com/office/drawing/2014/chart" uri="{C3380CC4-5D6E-409C-BE32-E72D297353CC}">
              <c16:uniqueId val="{00000000-16CE-40EA-9F04-493123981F71}"/>
            </c:ext>
          </c:extLst>
        </c:ser>
        <c:ser>
          <c:idx val="1"/>
          <c:order val="1"/>
          <c:spPr>
            <a:solidFill>
              <a:schemeClr val="bg1">
                <a:lumMod val="95000"/>
              </a:schemeClr>
            </a:solidFill>
            <a:ln>
              <a:noFill/>
            </a:ln>
            <a:effectLst/>
          </c:spPr>
          <c:invertIfNegative val="0"/>
          <c:val>
            <c:numRef>
              <c:f>pivot!$P$16</c:f>
              <c:numCache>
                <c:formatCode>0%</c:formatCode>
                <c:ptCount val="1"/>
                <c:pt idx="0">
                  <c:v>0.84</c:v>
                </c:pt>
              </c:numCache>
            </c:numRef>
          </c:val>
          <c:extLst>
            <c:ext xmlns:c16="http://schemas.microsoft.com/office/drawing/2014/chart" uri="{C3380CC4-5D6E-409C-BE32-E72D297353CC}">
              <c16:uniqueId val="{00000001-16CE-40EA-9F04-493123981F71}"/>
            </c:ext>
          </c:extLst>
        </c:ser>
        <c:dLbls>
          <c:showLegendKey val="0"/>
          <c:showVal val="0"/>
          <c:showCatName val="0"/>
          <c:showSerName val="0"/>
          <c:showPercent val="0"/>
          <c:showBubbleSize val="0"/>
        </c:dLbls>
        <c:gapWidth val="150"/>
        <c:overlap val="100"/>
        <c:axId val="346549152"/>
        <c:axId val="346549632"/>
      </c:barChart>
      <c:catAx>
        <c:axId val="346549152"/>
        <c:scaling>
          <c:orientation val="minMax"/>
        </c:scaling>
        <c:delete val="1"/>
        <c:axPos val="l"/>
        <c:majorTickMark val="none"/>
        <c:minorTickMark val="none"/>
        <c:tickLblPos val="nextTo"/>
        <c:crossAx val="346549632"/>
        <c:crosses val="autoZero"/>
        <c:auto val="1"/>
        <c:lblAlgn val="ctr"/>
        <c:lblOffset val="100"/>
        <c:noMultiLvlLbl val="0"/>
      </c:catAx>
      <c:valAx>
        <c:axId val="346549632"/>
        <c:scaling>
          <c:orientation val="minMax"/>
        </c:scaling>
        <c:delete val="1"/>
        <c:axPos val="b"/>
        <c:numFmt formatCode="0%" sourceLinked="1"/>
        <c:majorTickMark val="none"/>
        <c:minorTickMark val="none"/>
        <c:tickLblPos val="nextTo"/>
        <c:crossAx val="34654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pivot!$O$17</c:f>
              <c:numCache>
                <c:formatCode>0%</c:formatCode>
                <c:ptCount val="1"/>
                <c:pt idx="0">
                  <c:v>0.38</c:v>
                </c:pt>
              </c:numCache>
            </c:numRef>
          </c:val>
          <c:extLst>
            <c:ext xmlns:c16="http://schemas.microsoft.com/office/drawing/2014/chart" uri="{C3380CC4-5D6E-409C-BE32-E72D297353CC}">
              <c16:uniqueId val="{00000000-8780-49CF-AC85-51A3CDAF9F7A}"/>
            </c:ext>
          </c:extLst>
        </c:ser>
        <c:ser>
          <c:idx val="1"/>
          <c:order val="1"/>
          <c:spPr>
            <a:solidFill>
              <a:schemeClr val="bg1">
                <a:lumMod val="95000"/>
              </a:schemeClr>
            </a:solidFill>
            <a:ln>
              <a:noFill/>
            </a:ln>
            <a:effectLst/>
          </c:spPr>
          <c:invertIfNegative val="0"/>
          <c:val>
            <c:numRef>
              <c:f>pivot!$P$17</c:f>
              <c:numCache>
                <c:formatCode>0%</c:formatCode>
                <c:ptCount val="1"/>
                <c:pt idx="0">
                  <c:v>0.62</c:v>
                </c:pt>
              </c:numCache>
            </c:numRef>
          </c:val>
          <c:extLst>
            <c:ext xmlns:c16="http://schemas.microsoft.com/office/drawing/2014/chart" uri="{C3380CC4-5D6E-409C-BE32-E72D297353CC}">
              <c16:uniqueId val="{00000001-8780-49CF-AC85-51A3CDAF9F7A}"/>
            </c:ext>
          </c:extLst>
        </c:ser>
        <c:dLbls>
          <c:showLegendKey val="0"/>
          <c:showVal val="0"/>
          <c:showCatName val="0"/>
          <c:showSerName val="0"/>
          <c:showPercent val="0"/>
          <c:showBubbleSize val="0"/>
        </c:dLbls>
        <c:gapWidth val="150"/>
        <c:overlap val="100"/>
        <c:axId val="212181856"/>
        <c:axId val="212180896"/>
      </c:barChart>
      <c:catAx>
        <c:axId val="212181856"/>
        <c:scaling>
          <c:orientation val="minMax"/>
        </c:scaling>
        <c:delete val="1"/>
        <c:axPos val="l"/>
        <c:majorTickMark val="none"/>
        <c:minorTickMark val="none"/>
        <c:tickLblPos val="nextTo"/>
        <c:crossAx val="212180896"/>
        <c:crosses val="autoZero"/>
        <c:auto val="1"/>
        <c:lblAlgn val="ctr"/>
        <c:lblOffset val="100"/>
        <c:noMultiLvlLbl val="0"/>
      </c:catAx>
      <c:valAx>
        <c:axId val="212180896"/>
        <c:scaling>
          <c:orientation val="minMax"/>
        </c:scaling>
        <c:delete val="1"/>
        <c:axPos val="b"/>
        <c:numFmt formatCode="0%" sourceLinked="1"/>
        <c:majorTickMark val="none"/>
        <c:minorTickMark val="none"/>
        <c:tickLblPos val="nextTo"/>
        <c:crossAx val="21218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pivot!$D$13</c:f>
              <c:strCache>
                <c:ptCount val="1"/>
                <c:pt idx="0">
                  <c:v>Analyst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pivot!$F$13</c:f>
              <c:numCache>
                <c:formatCode>General</c:formatCode>
                <c:ptCount val="1"/>
                <c:pt idx="0">
                  <c:v>28</c:v>
                </c:pt>
              </c:numCache>
            </c:numRef>
          </c:val>
          <c:extLst>
            <c:ext xmlns:c16="http://schemas.microsoft.com/office/drawing/2014/chart" uri="{C3380CC4-5D6E-409C-BE32-E72D297353CC}">
              <c16:uniqueId val="{00000000-ADFC-4E68-B8CB-6BB643FA2089}"/>
            </c:ext>
          </c:extLst>
        </c:ser>
        <c:ser>
          <c:idx val="1"/>
          <c:order val="1"/>
          <c:tx>
            <c:strRef>
              <c:f>pivot!$D$14</c:f>
              <c:strCache>
                <c:ptCount val="1"/>
                <c:pt idx="0">
                  <c:v>Designer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pivot!$F$14</c:f>
              <c:numCache>
                <c:formatCode>General</c:formatCode>
                <c:ptCount val="1"/>
                <c:pt idx="0">
                  <c:v>110</c:v>
                </c:pt>
              </c:numCache>
            </c:numRef>
          </c:val>
          <c:extLst>
            <c:ext xmlns:c16="http://schemas.microsoft.com/office/drawing/2014/chart" uri="{C3380CC4-5D6E-409C-BE32-E72D297353CC}">
              <c16:uniqueId val="{00000001-ADFC-4E68-B8CB-6BB643FA2089}"/>
            </c:ext>
          </c:extLst>
        </c:ser>
        <c:ser>
          <c:idx val="2"/>
          <c:order val="2"/>
          <c:tx>
            <c:strRef>
              <c:f>pivot!$D$15</c:f>
              <c:strCache>
                <c:ptCount val="1"/>
                <c:pt idx="0">
                  <c:v>Developer</c:v>
                </c:pt>
              </c:strCache>
            </c:strRef>
          </c:tx>
          <c:spPr>
            <a:solidFill>
              <a:srgbClr val="2466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pivot!$F$15</c:f>
              <c:numCache>
                <c:formatCode>General</c:formatCode>
                <c:ptCount val="1"/>
                <c:pt idx="0">
                  <c:v>104</c:v>
                </c:pt>
              </c:numCache>
            </c:numRef>
          </c:val>
          <c:extLst>
            <c:ext xmlns:c16="http://schemas.microsoft.com/office/drawing/2014/chart" uri="{C3380CC4-5D6E-409C-BE32-E72D297353CC}">
              <c16:uniqueId val="{00000002-ADFC-4E68-B8CB-6BB643FA2089}"/>
            </c:ext>
          </c:extLst>
        </c:ser>
        <c:ser>
          <c:idx val="3"/>
          <c:order val="3"/>
          <c:tx>
            <c:strRef>
              <c:f>pivot!$D$16</c:f>
              <c:strCache>
                <c:ptCount val="1"/>
                <c:pt idx="0">
                  <c:v>HR Specialist</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pivot!$F$16</c:f>
              <c:numCache>
                <c:formatCode>General</c:formatCode>
                <c:ptCount val="1"/>
                <c:pt idx="0">
                  <c:v>123</c:v>
                </c:pt>
              </c:numCache>
            </c:numRef>
          </c:val>
          <c:extLst>
            <c:ext xmlns:c16="http://schemas.microsoft.com/office/drawing/2014/chart" uri="{C3380CC4-5D6E-409C-BE32-E72D297353CC}">
              <c16:uniqueId val="{00000003-ADFC-4E68-B8CB-6BB643FA2089}"/>
            </c:ext>
          </c:extLst>
        </c:ser>
        <c:ser>
          <c:idx val="4"/>
          <c:order val="4"/>
          <c:tx>
            <c:strRef>
              <c:f>pivot!$D$17</c:f>
              <c:strCache>
                <c:ptCount val="1"/>
                <c:pt idx="0">
                  <c:v>Manager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pivot!$F$17</c:f>
              <c:numCache>
                <c:formatCode>General</c:formatCode>
                <c:ptCount val="1"/>
                <c:pt idx="0">
                  <c:v>122</c:v>
                </c:pt>
              </c:numCache>
            </c:numRef>
          </c:val>
          <c:extLst>
            <c:ext xmlns:c16="http://schemas.microsoft.com/office/drawing/2014/chart" uri="{C3380CC4-5D6E-409C-BE32-E72D297353CC}">
              <c16:uniqueId val="{00000004-ADFC-4E68-B8CB-6BB643FA2089}"/>
            </c:ext>
          </c:extLst>
        </c:ser>
        <c:dLbls>
          <c:dLblPos val="outEnd"/>
          <c:showLegendKey val="0"/>
          <c:showVal val="1"/>
          <c:showCatName val="0"/>
          <c:showSerName val="0"/>
          <c:showPercent val="0"/>
          <c:showBubbleSize val="0"/>
        </c:dLbls>
        <c:gapWidth val="219"/>
        <c:overlap val="-27"/>
        <c:axId val="489692000"/>
        <c:axId val="489679520"/>
      </c:barChart>
      <c:catAx>
        <c:axId val="489692000"/>
        <c:scaling>
          <c:orientation val="minMax"/>
        </c:scaling>
        <c:delete val="1"/>
        <c:axPos val="b"/>
        <c:numFmt formatCode="General" sourceLinked="1"/>
        <c:majorTickMark val="none"/>
        <c:minorTickMark val="none"/>
        <c:tickLblPos val="nextTo"/>
        <c:crossAx val="489679520"/>
        <c:crosses val="autoZero"/>
        <c:auto val="1"/>
        <c:lblAlgn val="ctr"/>
        <c:lblOffset val="100"/>
        <c:noMultiLvlLbl val="0"/>
      </c:catAx>
      <c:valAx>
        <c:axId val="489679520"/>
        <c:scaling>
          <c:orientation val="minMax"/>
        </c:scaling>
        <c:delete val="1"/>
        <c:axPos val="l"/>
        <c:numFmt formatCode="General" sourceLinked="1"/>
        <c:majorTickMark val="none"/>
        <c:minorTickMark val="none"/>
        <c:tickLblPos val="nextTo"/>
        <c:crossAx val="489692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67145769159087"/>
          <c:y val="0.19937246776500347"/>
          <c:w val="0.75440941914903503"/>
          <c:h val="0.80062751668513632"/>
        </c:manualLayout>
      </c:layout>
      <c:barChart>
        <c:barDir val="bar"/>
        <c:grouping val="clustered"/>
        <c:varyColors val="0"/>
        <c:ser>
          <c:idx val="0"/>
          <c:order val="0"/>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pivot!$U$14:$U$18</c:f>
              <c:strCache>
                <c:ptCount val="5"/>
                <c:pt idx="0">
                  <c:v>Central</c:v>
                </c:pt>
                <c:pt idx="1">
                  <c:v>East</c:v>
                </c:pt>
                <c:pt idx="2">
                  <c:v>North</c:v>
                </c:pt>
                <c:pt idx="3">
                  <c:v>South</c:v>
                </c:pt>
                <c:pt idx="4">
                  <c:v>West</c:v>
                </c:pt>
              </c:strCache>
            </c:strRef>
          </c:cat>
          <c:val>
            <c:numRef>
              <c:f>pivot!$V$14:$V$18</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0093-40B0-96C7-26A87C7C19AD}"/>
            </c:ext>
          </c:extLst>
        </c:ser>
        <c:dLbls>
          <c:dLblPos val="outEnd"/>
          <c:showLegendKey val="0"/>
          <c:showVal val="1"/>
          <c:showCatName val="0"/>
          <c:showSerName val="0"/>
          <c:showPercent val="0"/>
          <c:showBubbleSize val="0"/>
        </c:dLbls>
        <c:gapWidth val="182"/>
        <c:axId val="489694400"/>
        <c:axId val="489673280"/>
      </c:barChart>
      <c:catAx>
        <c:axId val="489694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9673280"/>
        <c:crosses val="autoZero"/>
        <c:auto val="1"/>
        <c:lblAlgn val="ctr"/>
        <c:lblOffset val="100"/>
        <c:noMultiLvlLbl val="0"/>
      </c:catAx>
      <c:valAx>
        <c:axId val="489673280"/>
        <c:scaling>
          <c:orientation val="minMax"/>
        </c:scaling>
        <c:delete val="1"/>
        <c:axPos val="b"/>
        <c:numFmt formatCode="General" sourceLinked="1"/>
        <c:majorTickMark val="out"/>
        <c:minorTickMark val="none"/>
        <c:tickLblPos val="nextTo"/>
        <c:crossAx val="4896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chart" Target="../charts/chart7.xml"/><Relationship Id="rId10" Type="http://schemas.openxmlformats.org/officeDocument/2006/relationships/image" Target="../media/image5.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20</xdr:col>
      <xdr:colOff>289649</xdr:colOff>
      <xdr:row>34</xdr:row>
      <xdr:rowOff>74800</xdr:rowOff>
    </xdr:to>
    <xdr:sp macro="" textlink="">
      <xdr:nvSpPr>
        <xdr:cNvPr id="2" name="Rectangle: Rounded Corners 1">
          <a:extLst>
            <a:ext uri="{FF2B5EF4-FFF2-40B4-BE49-F238E27FC236}">
              <a16:creationId xmlns:a16="http://schemas.microsoft.com/office/drawing/2014/main" id="{34756C9B-F647-56B6-06F0-E8297C4BF881}"/>
            </a:ext>
          </a:extLst>
        </xdr:cNvPr>
        <xdr:cNvSpPr/>
      </xdr:nvSpPr>
      <xdr:spPr>
        <a:xfrm>
          <a:off x="0" y="0"/>
          <a:ext cx="11318596" cy="6135151"/>
        </a:xfrm>
        <a:prstGeom prst="roundRect">
          <a:avLst>
            <a:gd name="adj" fmla="val 584"/>
          </a:avLst>
        </a:prstGeom>
        <a:solidFill>
          <a:srgbClr val="151515"/>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atin typeface=" Kul;im Park"/>
          </a:endParaRPr>
        </a:p>
      </xdr:txBody>
    </xdr:sp>
    <xdr:clientData/>
  </xdr:twoCellAnchor>
  <xdr:twoCellAnchor>
    <xdr:from>
      <xdr:col>2</xdr:col>
      <xdr:colOff>104099</xdr:colOff>
      <xdr:row>22</xdr:row>
      <xdr:rowOff>23963</xdr:rowOff>
    </xdr:from>
    <xdr:to>
      <xdr:col>5</xdr:col>
      <xdr:colOff>156148</xdr:colOff>
      <xdr:row>34</xdr:row>
      <xdr:rowOff>46534</xdr:rowOff>
    </xdr:to>
    <xdr:sp macro="" textlink="">
      <xdr:nvSpPr>
        <xdr:cNvPr id="3" name="Rectangle: Rounded Corners 2">
          <a:extLst>
            <a:ext uri="{FF2B5EF4-FFF2-40B4-BE49-F238E27FC236}">
              <a16:creationId xmlns:a16="http://schemas.microsoft.com/office/drawing/2014/main" id="{78AF1579-169C-0340-429B-A5F1B43EB7CE}"/>
            </a:ext>
          </a:extLst>
        </xdr:cNvPr>
        <xdr:cNvSpPr/>
      </xdr:nvSpPr>
      <xdr:spPr>
        <a:xfrm>
          <a:off x="104099" y="3977737"/>
          <a:ext cx="1885162" cy="2179174"/>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latin typeface=" Kul;im Park"/>
            </a:rPr>
            <a:t>  W</a:t>
          </a:r>
          <a:r>
            <a:rPr lang="en-IN" sz="1600" b="1" baseline="0">
              <a:solidFill>
                <a:srgbClr val="FFC000"/>
              </a:solidFill>
              <a:latin typeface=" Kul;im Park"/>
            </a:rPr>
            <a:t>ork Location</a:t>
          </a:r>
          <a:endParaRPr lang="en-IN" sz="1600" b="1">
            <a:solidFill>
              <a:srgbClr val="FFC000"/>
            </a:solidFill>
            <a:latin typeface=" Kul;im Park"/>
          </a:endParaRPr>
        </a:p>
      </xdr:txBody>
    </xdr:sp>
    <xdr:clientData/>
  </xdr:twoCellAnchor>
  <xdr:twoCellAnchor>
    <xdr:from>
      <xdr:col>2</xdr:col>
      <xdr:colOff>122520</xdr:colOff>
      <xdr:row>6</xdr:row>
      <xdr:rowOff>6363</xdr:rowOff>
    </xdr:from>
    <xdr:to>
      <xdr:col>5</xdr:col>
      <xdr:colOff>235186</xdr:colOff>
      <xdr:row>21</xdr:row>
      <xdr:rowOff>108495</xdr:rowOff>
    </xdr:to>
    <xdr:sp macro="" textlink="">
      <xdr:nvSpPr>
        <xdr:cNvPr id="12" name="Rectangle: Rounded Corners 11">
          <a:extLst>
            <a:ext uri="{FF2B5EF4-FFF2-40B4-BE49-F238E27FC236}">
              <a16:creationId xmlns:a16="http://schemas.microsoft.com/office/drawing/2014/main" id="{FC584871-C1B3-479E-9AFA-8BAC8ACFE3FF}"/>
            </a:ext>
          </a:extLst>
        </xdr:cNvPr>
        <xdr:cNvSpPr/>
      </xdr:nvSpPr>
      <xdr:spPr>
        <a:xfrm>
          <a:off x="122520" y="1064696"/>
          <a:ext cx="1947110" cy="2806762"/>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bg1"/>
            </a:solidFill>
            <a:latin typeface=" Kul;im Park"/>
          </a:endParaRPr>
        </a:p>
      </xdr:txBody>
    </xdr:sp>
    <xdr:clientData/>
  </xdr:twoCellAnchor>
  <xdr:twoCellAnchor>
    <xdr:from>
      <xdr:col>5</xdr:col>
      <xdr:colOff>277319</xdr:colOff>
      <xdr:row>20</xdr:row>
      <xdr:rowOff>104099</xdr:rowOff>
    </xdr:from>
    <xdr:to>
      <xdr:col>10</xdr:col>
      <xdr:colOff>156147</xdr:colOff>
      <xdr:row>34</xdr:row>
      <xdr:rowOff>42786</xdr:rowOff>
    </xdr:to>
    <xdr:sp macro="" textlink="">
      <xdr:nvSpPr>
        <xdr:cNvPr id="13" name="Rectangle: Rounded Corners 12">
          <a:extLst>
            <a:ext uri="{FF2B5EF4-FFF2-40B4-BE49-F238E27FC236}">
              <a16:creationId xmlns:a16="http://schemas.microsoft.com/office/drawing/2014/main" id="{FB3B9920-F818-4127-9129-8F98EAA02AE9}"/>
            </a:ext>
          </a:extLst>
        </xdr:cNvPr>
        <xdr:cNvSpPr/>
      </xdr:nvSpPr>
      <xdr:spPr>
        <a:xfrm>
          <a:off x="2119860" y="3643443"/>
          <a:ext cx="2949730" cy="2416228"/>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latin typeface=" Kul;im Park"/>
            </a:rPr>
            <a:t>  Age Range</a:t>
          </a:r>
        </a:p>
      </xdr:txBody>
    </xdr:sp>
    <xdr:clientData/>
  </xdr:twoCellAnchor>
  <xdr:twoCellAnchor>
    <xdr:from>
      <xdr:col>5</xdr:col>
      <xdr:colOff>294391</xdr:colOff>
      <xdr:row>6</xdr:row>
      <xdr:rowOff>48302</xdr:rowOff>
    </xdr:from>
    <xdr:to>
      <xdr:col>10</xdr:col>
      <xdr:colOff>173219</xdr:colOff>
      <xdr:row>12</xdr:row>
      <xdr:rowOff>166557</xdr:rowOff>
    </xdr:to>
    <xdr:sp macro="" textlink="">
      <xdr:nvSpPr>
        <xdr:cNvPr id="14" name="Rectangle: Rounded Corners 13">
          <a:extLst>
            <a:ext uri="{FF2B5EF4-FFF2-40B4-BE49-F238E27FC236}">
              <a16:creationId xmlns:a16="http://schemas.microsoft.com/office/drawing/2014/main" id="{A0E32DC0-73AF-468E-AA81-194CD320C3DD}"/>
            </a:ext>
          </a:extLst>
        </xdr:cNvPr>
        <xdr:cNvSpPr/>
      </xdr:nvSpPr>
      <xdr:spPr>
        <a:xfrm>
          <a:off x="2136932" y="1110105"/>
          <a:ext cx="2949730" cy="1180059"/>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 Kul;im Park"/>
          </a:endParaRPr>
        </a:p>
      </xdr:txBody>
    </xdr:sp>
    <xdr:clientData/>
  </xdr:twoCellAnchor>
  <xdr:twoCellAnchor>
    <xdr:from>
      <xdr:col>10</xdr:col>
      <xdr:colOff>249003</xdr:colOff>
      <xdr:row>20</xdr:row>
      <xdr:rowOff>87265</xdr:rowOff>
    </xdr:from>
    <xdr:to>
      <xdr:col>15</xdr:col>
      <xdr:colOff>127832</xdr:colOff>
      <xdr:row>34</xdr:row>
      <xdr:rowOff>25952</xdr:rowOff>
    </xdr:to>
    <xdr:sp macro="" textlink="">
      <xdr:nvSpPr>
        <xdr:cNvPr id="15" name="Rectangle: Rounded Corners 14">
          <a:extLst>
            <a:ext uri="{FF2B5EF4-FFF2-40B4-BE49-F238E27FC236}">
              <a16:creationId xmlns:a16="http://schemas.microsoft.com/office/drawing/2014/main" id="{D6D9C9B5-93D9-4147-8B88-C545E9E812D3}"/>
            </a:ext>
          </a:extLst>
        </xdr:cNvPr>
        <xdr:cNvSpPr/>
      </xdr:nvSpPr>
      <xdr:spPr>
        <a:xfrm>
          <a:off x="5104885" y="3635794"/>
          <a:ext cx="2913756" cy="2422658"/>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  </a:t>
          </a:r>
          <a:endParaRPr lang="en-IN" sz="1100">
            <a:latin typeface=" Kul;im Park"/>
          </a:endParaRPr>
        </a:p>
      </xdr:txBody>
    </xdr:sp>
    <xdr:clientData/>
  </xdr:twoCellAnchor>
  <xdr:twoCellAnchor>
    <xdr:from>
      <xdr:col>17</xdr:col>
      <xdr:colOff>499672</xdr:colOff>
      <xdr:row>27</xdr:row>
      <xdr:rowOff>145736</xdr:rowOff>
    </xdr:from>
    <xdr:to>
      <xdr:col>20</xdr:col>
      <xdr:colOff>82443</xdr:colOff>
      <xdr:row>34</xdr:row>
      <xdr:rowOff>41953</xdr:rowOff>
    </xdr:to>
    <xdr:sp macro="" textlink="">
      <xdr:nvSpPr>
        <xdr:cNvPr id="16" name="Rectangle: Rounded Corners 15">
          <a:extLst>
            <a:ext uri="{FF2B5EF4-FFF2-40B4-BE49-F238E27FC236}">
              <a16:creationId xmlns:a16="http://schemas.microsoft.com/office/drawing/2014/main" id="{8F7B836F-353B-419F-8FC5-B472767BAC43}"/>
            </a:ext>
          </a:extLst>
        </xdr:cNvPr>
        <xdr:cNvSpPr/>
      </xdr:nvSpPr>
      <xdr:spPr>
        <a:xfrm>
          <a:off x="9712377" y="4923851"/>
          <a:ext cx="1425312" cy="1134987"/>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 Kul;im Park"/>
            </a:rPr>
            <a:t>Full Time Employee</a:t>
          </a:r>
        </a:p>
      </xdr:txBody>
    </xdr:sp>
    <xdr:clientData/>
  </xdr:twoCellAnchor>
  <xdr:twoCellAnchor>
    <xdr:from>
      <xdr:col>10</xdr:col>
      <xdr:colOff>293556</xdr:colOff>
      <xdr:row>6</xdr:row>
      <xdr:rowOff>47470</xdr:rowOff>
    </xdr:from>
    <xdr:to>
      <xdr:col>15</xdr:col>
      <xdr:colOff>172385</xdr:colOff>
      <xdr:row>19</xdr:row>
      <xdr:rowOff>163124</xdr:rowOff>
    </xdr:to>
    <xdr:sp macro="" textlink="">
      <xdr:nvSpPr>
        <xdr:cNvPr id="17" name="Rectangle: Rounded Corners 16">
          <a:extLst>
            <a:ext uri="{FF2B5EF4-FFF2-40B4-BE49-F238E27FC236}">
              <a16:creationId xmlns:a16="http://schemas.microsoft.com/office/drawing/2014/main" id="{E9E45A5C-7EDD-49F3-928B-83706363B687}"/>
            </a:ext>
          </a:extLst>
        </xdr:cNvPr>
        <xdr:cNvSpPr/>
      </xdr:nvSpPr>
      <xdr:spPr>
        <a:xfrm>
          <a:off x="5206999" y="1109273"/>
          <a:ext cx="2949730" cy="2416228"/>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rgbClr val="FFC000"/>
            </a:solidFill>
            <a:latin typeface=" Kul;im Park"/>
          </a:endParaRPr>
        </a:p>
      </xdr:txBody>
    </xdr:sp>
    <xdr:clientData/>
  </xdr:twoCellAnchor>
  <xdr:twoCellAnchor>
    <xdr:from>
      <xdr:col>15</xdr:col>
      <xdr:colOff>261705</xdr:colOff>
      <xdr:row>0</xdr:row>
      <xdr:rowOff>171671</xdr:rowOff>
    </xdr:from>
    <xdr:to>
      <xdr:col>20</xdr:col>
      <xdr:colOff>140533</xdr:colOff>
      <xdr:row>9</xdr:row>
      <xdr:rowOff>119620</xdr:rowOff>
    </xdr:to>
    <xdr:sp macro="" textlink="">
      <xdr:nvSpPr>
        <xdr:cNvPr id="18" name="Rectangle: Rounded Corners 17">
          <a:extLst>
            <a:ext uri="{FF2B5EF4-FFF2-40B4-BE49-F238E27FC236}">
              <a16:creationId xmlns:a16="http://schemas.microsoft.com/office/drawing/2014/main" id="{7B5C3A97-FF2D-44AE-AE9F-CD623F95E365}"/>
            </a:ext>
          </a:extLst>
        </xdr:cNvPr>
        <xdr:cNvSpPr/>
      </xdr:nvSpPr>
      <xdr:spPr>
        <a:xfrm>
          <a:off x="8227056" y="171671"/>
          <a:ext cx="2942424" cy="1552160"/>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 Kul;im Park"/>
          </a:endParaRPr>
        </a:p>
      </xdr:txBody>
    </xdr:sp>
    <xdr:clientData/>
  </xdr:twoCellAnchor>
  <xdr:twoCellAnchor>
    <xdr:from>
      <xdr:col>5</xdr:col>
      <xdr:colOff>311463</xdr:colOff>
      <xdr:row>13</xdr:row>
      <xdr:rowOff>75784</xdr:rowOff>
    </xdr:from>
    <xdr:to>
      <xdr:col>7</xdr:col>
      <xdr:colOff>559102</xdr:colOff>
      <xdr:row>20</xdr:row>
      <xdr:rowOff>17073</xdr:rowOff>
    </xdr:to>
    <xdr:sp macro="" textlink="">
      <xdr:nvSpPr>
        <xdr:cNvPr id="19" name="Rectangle: Rounded Corners 18">
          <a:extLst>
            <a:ext uri="{FF2B5EF4-FFF2-40B4-BE49-F238E27FC236}">
              <a16:creationId xmlns:a16="http://schemas.microsoft.com/office/drawing/2014/main" id="{A7710511-9116-4F63-A3D0-677DEC949546}"/>
            </a:ext>
          </a:extLst>
        </xdr:cNvPr>
        <xdr:cNvSpPr/>
      </xdr:nvSpPr>
      <xdr:spPr>
        <a:xfrm>
          <a:off x="2154004" y="2376358"/>
          <a:ext cx="1476000" cy="1180059"/>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 Kul;im Park"/>
          </a:endParaRPr>
        </a:p>
      </xdr:txBody>
    </xdr:sp>
    <xdr:clientData/>
  </xdr:twoCellAnchor>
  <xdr:twoCellAnchor>
    <xdr:from>
      <xdr:col>7</xdr:col>
      <xdr:colOff>599190</xdr:colOff>
      <xdr:row>13</xdr:row>
      <xdr:rowOff>72036</xdr:rowOff>
    </xdr:from>
    <xdr:to>
      <xdr:col>10</xdr:col>
      <xdr:colOff>232649</xdr:colOff>
      <xdr:row>20</xdr:row>
      <xdr:rowOff>13325</xdr:rowOff>
    </xdr:to>
    <xdr:sp macro="" textlink="">
      <xdr:nvSpPr>
        <xdr:cNvPr id="20" name="Rectangle: Rounded Corners 19">
          <a:extLst>
            <a:ext uri="{FF2B5EF4-FFF2-40B4-BE49-F238E27FC236}">
              <a16:creationId xmlns:a16="http://schemas.microsoft.com/office/drawing/2014/main" id="{2A0A65D9-8A7A-42FF-A319-D018354222F6}"/>
            </a:ext>
          </a:extLst>
        </xdr:cNvPr>
        <xdr:cNvSpPr/>
      </xdr:nvSpPr>
      <xdr:spPr>
        <a:xfrm>
          <a:off x="3670092" y="2372610"/>
          <a:ext cx="1476000" cy="1180059"/>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 Kul;im Park"/>
          </a:endParaRPr>
        </a:p>
      </xdr:txBody>
    </xdr:sp>
    <xdr:clientData/>
  </xdr:twoCellAnchor>
  <xdr:twoCellAnchor>
    <xdr:from>
      <xdr:col>15</xdr:col>
      <xdr:colOff>292842</xdr:colOff>
      <xdr:row>18</xdr:row>
      <xdr:rowOff>101908</xdr:rowOff>
    </xdr:from>
    <xdr:to>
      <xdr:col>20</xdr:col>
      <xdr:colOff>171670</xdr:colOff>
      <xdr:row>20</xdr:row>
      <xdr:rowOff>133685</xdr:rowOff>
    </xdr:to>
    <xdr:sp macro="" textlink="">
      <xdr:nvSpPr>
        <xdr:cNvPr id="22" name="Rectangle: Rounded Corners 21">
          <a:extLst>
            <a:ext uri="{FF2B5EF4-FFF2-40B4-BE49-F238E27FC236}">
              <a16:creationId xmlns:a16="http://schemas.microsoft.com/office/drawing/2014/main" id="{56409E8A-CC74-43FD-A597-18B7896EBAF4}"/>
            </a:ext>
          </a:extLst>
        </xdr:cNvPr>
        <xdr:cNvSpPr/>
      </xdr:nvSpPr>
      <xdr:spPr>
        <a:xfrm>
          <a:off x="8258193" y="3310329"/>
          <a:ext cx="2942424" cy="388268"/>
        </a:xfrm>
        <a:prstGeom prst="roundRect">
          <a:avLst>
            <a:gd name="adj" fmla="val 620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rgbClr val="FFC000"/>
              </a:solidFill>
              <a:latin typeface=" Kul;im Park"/>
            </a:rPr>
            <a:t>Employment</a:t>
          </a:r>
          <a:r>
            <a:rPr lang="en-IN" sz="1600" b="1" baseline="0">
              <a:solidFill>
                <a:srgbClr val="FFC000"/>
              </a:solidFill>
              <a:latin typeface=" Kul;im Park"/>
            </a:rPr>
            <a:t> Status BreakDown</a:t>
          </a:r>
          <a:endParaRPr lang="en-IN" sz="1600" b="1">
            <a:solidFill>
              <a:srgbClr val="FFC000"/>
            </a:solidFill>
            <a:latin typeface=" Kul;im Park"/>
          </a:endParaRPr>
        </a:p>
      </xdr:txBody>
    </xdr:sp>
    <xdr:clientData/>
  </xdr:twoCellAnchor>
  <xdr:twoCellAnchor>
    <xdr:from>
      <xdr:col>17</xdr:col>
      <xdr:colOff>499672</xdr:colOff>
      <xdr:row>20</xdr:row>
      <xdr:rowOff>144906</xdr:rowOff>
    </xdr:from>
    <xdr:to>
      <xdr:col>20</xdr:col>
      <xdr:colOff>45273</xdr:colOff>
      <xdr:row>27</xdr:row>
      <xdr:rowOff>86194</xdr:rowOff>
    </xdr:to>
    <xdr:sp macro="" textlink="">
      <xdr:nvSpPr>
        <xdr:cNvPr id="23" name="Rectangle: Rounded Corners 22">
          <a:extLst>
            <a:ext uri="{FF2B5EF4-FFF2-40B4-BE49-F238E27FC236}">
              <a16:creationId xmlns:a16="http://schemas.microsoft.com/office/drawing/2014/main" id="{00C272B9-96AA-44B9-A602-0CF936F8DE78}"/>
            </a:ext>
          </a:extLst>
        </xdr:cNvPr>
        <xdr:cNvSpPr/>
      </xdr:nvSpPr>
      <xdr:spPr>
        <a:xfrm>
          <a:off x="9712377" y="3684250"/>
          <a:ext cx="1388142" cy="1180059"/>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 Kul;im Park"/>
            </a:rPr>
            <a:t>Part</a:t>
          </a:r>
          <a:r>
            <a:rPr lang="en-IN" sz="1400" b="1" baseline="0">
              <a:latin typeface=" Kul;im Park"/>
            </a:rPr>
            <a:t> Time Employees</a:t>
          </a:r>
          <a:endParaRPr lang="en-IN" sz="1400" b="1">
            <a:latin typeface=" Kul;im Park"/>
          </a:endParaRPr>
        </a:p>
      </xdr:txBody>
    </xdr:sp>
    <xdr:clientData/>
  </xdr:twoCellAnchor>
  <xdr:twoCellAnchor>
    <xdr:from>
      <xdr:col>15</xdr:col>
      <xdr:colOff>197787</xdr:colOff>
      <xdr:row>27</xdr:row>
      <xdr:rowOff>141988</xdr:rowOff>
    </xdr:from>
    <xdr:to>
      <xdr:col>17</xdr:col>
      <xdr:colOff>443040</xdr:colOff>
      <xdr:row>34</xdr:row>
      <xdr:rowOff>38205</xdr:rowOff>
    </xdr:to>
    <xdr:sp macro="" textlink="">
      <xdr:nvSpPr>
        <xdr:cNvPr id="24" name="Rectangle: Rounded Corners 23">
          <a:extLst>
            <a:ext uri="{FF2B5EF4-FFF2-40B4-BE49-F238E27FC236}">
              <a16:creationId xmlns:a16="http://schemas.microsoft.com/office/drawing/2014/main" id="{EAB64DE9-E2E0-413B-90BE-2B8872A0F98C}"/>
            </a:ext>
          </a:extLst>
        </xdr:cNvPr>
        <xdr:cNvSpPr/>
      </xdr:nvSpPr>
      <xdr:spPr>
        <a:xfrm>
          <a:off x="8088596" y="4932503"/>
          <a:ext cx="1459223" cy="1138202"/>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 Kul;im Park"/>
            </a:rPr>
            <a:t>Contract</a:t>
          </a:r>
        </a:p>
      </xdr:txBody>
    </xdr:sp>
    <xdr:clientData/>
  </xdr:twoCellAnchor>
  <xdr:oneCellAnchor>
    <xdr:from>
      <xdr:col>18</xdr:col>
      <xdr:colOff>20820</xdr:colOff>
      <xdr:row>24</xdr:row>
      <xdr:rowOff>41640</xdr:rowOff>
    </xdr:from>
    <xdr:ext cx="1030574" cy="530901"/>
    <xdr:sp macro="" textlink="pivot!B13">
      <xdr:nvSpPr>
        <xdr:cNvPr id="25" name="TextBox 24">
          <a:extLst>
            <a:ext uri="{FF2B5EF4-FFF2-40B4-BE49-F238E27FC236}">
              <a16:creationId xmlns:a16="http://schemas.microsoft.com/office/drawing/2014/main" id="{8BD36BD7-D1D3-69FB-8424-00FC58A3005B}"/>
            </a:ext>
          </a:extLst>
        </xdr:cNvPr>
        <xdr:cNvSpPr txBox="1"/>
      </xdr:nvSpPr>
      <xdr:spPr>
        <a:xfrm>
          <a:off x="9847705" y="4288853"/>
          <a:ext cx="1030574" cy="530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5A9A30B-CAF1-44A1-ADCE-AAC5B35CEA80}" type="TxLink">
            <a:rPr lang="en-US" sz="2000" b="1" i="0" u="none" strike="noStrike">
              <a:solidFill>
                <a:schemeClr val="bg1"/>
              </a:solidFill>
              <a:latin typeface="Aptos Narrow"/>
            </a:rPr>
            <a:pPr algn="ctr"/>
            <a:t>13</a:t>
          </a:fld>
          <a:endParaRPr lang="en-IN" sz="2000" b="1">
            <a:solidFill>
              <a:schemeClr val="bg1"/>
            </a:solidFill>
            <a:latin typeface=" Kul;im Park"/>
          </a:endParaRPr>
        </a:p>
      </xdr:txBody>
    </xdr:sp>
    <xdr:clientData/>
  </xdr:oneCellAnchor>
  <xdr:oneCellAnchor>
    <xdr:from>
      <xdr:col>15</xdr:col>
      <xdr:colOff>541311</xdr:colOff>
      <xdr:row>30</xdr:row>
      <xdr:rowOff>135328</xdr:rowOff>
    </xdr:from>
    <xdr:ext cx="718279" cy="405432"/>
    <xdr:sp macro="" textlink="pivot!B11">
      <xdr:nvSpPr>
        <xdr:cNvPr id="30" name="TextBox 29">
          <a:extLst>
            <a:ext uri="{FF2B5EF4-FFF2-40B4-BE49-F238E27FC236}">
              <a16:creationId xmlns:a16="http://schemas.microsoft.com/office/drawing/2014/main" id="{0A728DF3-4CF4-2D07-761F-4E5AC308ED5F}"/>
            </a:ext>
          </a:extLst>
        </xdr:cNvPr>
        <xdr:cNvSpPr txBox="1"/>
      </xdr:nvSpPr>
      <xdr:spPr>
        <a:xfrm>
          <a:off x="8525655" y="5444344"/>
          <a:ext cx="71827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29A3C13-7598-4745-88B1-90E295FCC4AE}" type="TxLink">
            <a:rPr lang="en-US" sz="2000" b="1" i="0" u="none" strike="noStrike">
              <a:solidFill>
                <a:schemeClr val="bg1"/>
              </a:solidFill>
              <a:latin typeface="Aptos Narrow"/>
            </a:rPr>
            <a:pPr algn="ctr"/>
            <a:t>17</a:t>
          </a:fld>
          <a:endParaRPr lang="en-IN" sz="2000" b="1">
            <a:solidFill>
              <a:schemeClr val="bg1"/>
            </a:solidFill>
          </a:endParaRPr>
        </a:p>
      </xdr:txBody>
    </xdr:sp>
    <xdr:clientData/>
  </xdr:oneCellAnchor>
  <xdr:oneCellAnchor>
    <xdr:from>
      <xdr:col>18</xdr:col>
      <xdr:colOff>333116</xdr:colOff>
      <xdr:row>31</xdr:row>
      <xdr:rowOff>0</xdr:rowOff>
    </xdr:from>
    <xdr:ext cx="444609" cy="405432"/>
    <xdr:sp macro="" textlink="pivot!B12">
      <xdr:nvSpPr>
        <xdr:cNvPr id="31" name="TextBox 30">
          <a:extLst>
            <a:ext uri="{FF2B5EF4-FFF2-40B4-BE49-F238E27FC236}">
              <a16:creationId xmlns:a16="http://schemas.microsoft.com/office/drawing/2014/main" id="{9E5F2179-7B8B-3419-AB20-737069BC2FA3}"/>
            </a:ext>
          </a:extLst>
        </xdr:cNvPr>
        <xdr:cNvSpPr txBox="1"/>
      </xdr:nvSpPr>
      <xdr:spPr>
        <a:xfrm>
          <a:off x="10160001" y="5485984"/>
          <a:ext cx="44460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E91E3568-3801-40AC-810C-94BD37712EB8}" type="TxLink">
            <a:rPr lang="en-US" sz="2000" b="1" i="0" u="none" strike="noStrike">
              <a:solidFill>
                <a:schemeClr val="bg1"/>
              </a:solidFill>
              <a:latin typeface="Aptos Narrow"/>
            </a:rPr>
            <a:pPr algn="ctr"/>
            <a:t>20</a:t>
          </a:fld>
          <a:endParaRPr lang="en-IN" sz="2000" b="1">
            <a:solidFill>
              <a:schemeClr val="bg1"/>
            </a:solidFill>
          </a:endParaRPr>
        </a:p>
      </xdr:txBody>
    </xdr:sp>
    <xdr:clientData/>
  </xdr:oneCellAnchor>
  <xdr:oneCellAnchor>
    <xdr:from>
      <xdr:col>10</xdr:col>
      <xdr:colOff>459648</xdr:colOff>
      <xdr:row>23</xdr:row>
      <xdr:rowOff>114508</xdr:rowOff>
    </xdr:from>
    <xdr:ext cx="1051250" cy="311496"/>
    <xdr:sp macro="" textlink="">
      <xdr:nvSpPr>
        <xdr:cNvPr id="32" name="TextBox 31">
          <a:extLst>
            <a:ext uri="{FF2B5EF4-FFF2-40B4-BE49-F238E27FC236}">
              <a16:creationId xmlns:a16="http://schemas.microsoft.com/office/drawing/2014/main" id="{78DA37DE-52FA-F662-0C98-BEAC5834B01F}"/>
            </a:ext>
          </a:extLst>
        </xdr:cNvPr>
        <xdr:cNvSpPr txBox="1"/>
      </xdr:nvSpPr>
      <xdr:spPr>
        <a:xfrm>
          <a:off x="5301523" y="4222164"/>
          <a:ext cx="10512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a:solidFill>
                <a:schemeClr val="bg1"/>
              </a:solidFill>
            </a:rPr>
            <a:t>Total Salary</a:t>
          </a:r>
        </a:p>
      </xdr:txBody>
    </xdr:sp>
    <xdr:clientData/>
  </xdr:oneCellAnchor>
  <xdr:oneCellAnchor>
    <xdr:from>
      <xdr:col>10</xdr:col>
      <xdr:colOff>440876</xdr:colOff>
      <xdr:row>27</xdr:row>
      <xdr:rowOff>0</xdr:rowOff>
    </xdr:from>
    <xdr:ext cx="909864" cy="311496"/>
    <xdr:sp macro="" textlink="">
      <xdr:nvSpPr>
        <xdr:cNvPr id="34" name="TextBox 33">
          <a:extLst>
            <a:ext uri="{FF2B5EF4-FFF2-40B4-BE49-F238E27FC236}">
              <a16:creationId xmlns:a16="http://schemas.microsoft.com/office/drawing/2014/main" id="{44786E07-C3CE-E8AB-8125-64D53B6D047F}"/>
            </a:ext>
          </a:extLst>
        </xdr:cNvPr>
        <xdr:cNvSpPr txBox="1"/>
      </xdr:nvSpPr>
      <xdr:spPr>
        <a:xfrm>
          <a:off x="6569364" y="4784651"/>
          <a:ext cx="9098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i="0">
              <a:solidFill>
                <a:schemeClr val="bg1"/>
              </a:solidFill>
              <a:effectLst/>
              <a:latin typeface="+mn-lt"/>
              <a:ea typeface="+mn-ea"/>
              <a:cs typeface="+mn-cs"/>
            </a:rPr>
            <a:t> Designer</a:t>
          </a:r>
          <a:endParaRPr lang="en-IN" sz="1400" b="1">
            <a:solidFill>
              <a:schemeClr val="bg1"/>
            </a:solidFill>
          </a:endParaRPr>
        </a:p>
      </xdr:txBody>
    </xdr:sp>
    <xdr:clientData/>
  </xdr:oneCellAnchor>
  <xdr:oneCellAnchor>
    <xdr:from>
      <xdr:col>10</xdr:col>
      <xdr:colOff>448296</xdr:colOff>
      <xdr:row>25</xdr:row>
      <xdr:rowOff>96388</xdr:rowOff>
    </xdr:from>
    <xdr:ext cx="736355" cy="260246"/>
    <xdr:sp macro="" textlink="">
      <xdr:nvSpPr>
        <xdr:cNvPr id="35" name="TextBox 34">
          <a:extLst>
            <a:ext uri="{FF2B5EF4-FFF2-40B4-BE49-F238E27FC236}">
              <a16:creationId xmlns:a16="http://schemas.microsoft.com/office/drawing/2014/main" id="{77A19A54-1379-1902-F70A-17871CC9CCC8}"/>
            </a:ext>
          </a:extLst>
        </xdr:cNvPr>
        <xdr:cNvSpPr txBox="1"/>
      </xdr:nvSpPr>
      <xdr:spPr>
        <a:xfrm>
          <a:off x="5340148" y="4564907"/>
          <a:ext cx="736355" cy="260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400" b="1" i="0">
              <a:solidFill>
                <a:schemeClr val="bg1"/>
              </a:solidFill>
              <a:effectLst/>
              <a:latin typeface="+mn-lt"/>
              <a:ea typeface="+mn-ea"/>
              <a:cs typeface="+mn-cs"/>
            </a:rPr>
            <a:t> Analyst</a:t>
          </a:r>
          <a:endParaRPr lang="en-IN" sz="1400" b="1">
            <a:solidFill>
              <a:schemeClr val="bg1"/>
            </a:solidFill>
          </a:endParaRPr>
        </a:p>
      </xdr:txBody>
    </xdr:sp>
    <xdr:clientData/>
  </xdr:oneCellAnchor>
  <xdr:oneCellAnchor>
    <xdr:from>
      <xdr:col>10</xdr:col>
      <xdr:colOff>405598</xdr:colOff>
      <xdr:row>28</xdr:row>
      <xdr:rowOff>115857</xdr:rowOff>
    </xdr:from>
    <xdr:ext cx="921214" cy="311496"/>
    <xdr:sp macro="" textlink="">
      <xdr:nvSpPr>
        <xdr:cNvPr id="36" name="TextBox 35">
          <a:extLst>
            <a:ext uri="{FF2B5EF4-FFF2-40B4-BE49-F238E27FC236}">
              <a16:creationId xmlns:a16="http://schemas.microsoft.com/office/drawing/2014/main" id="{8D995B79-819E-A807-3455-E2A897E5FBFB}"/>
            </a:ext>
          </a:extLst>
        </xdr:cNvPr>
        <xdr:cNvSpPr txBox="1"/>
      </xdr:nvSpPr>
      <xdr:spPr>
        <a:xfrm>
          <a:off x="6534086" y="5077717"/>
          <a:ext cx="92121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a:solidFill>
                <a:schemeClr val="bg1"/>
              </a:solidFill>
              <a:effectLst/>
              <a:latin typeface="+mn-lt"/>
              <a:ea typeface="+mn-ea"/>
              <a:cs typeface="+mn-cs"/>
            </a:rPr>
            <a:t>  Manager</a:t>
          </a:r>
          <a:endParaRPr lang="en-IN" sz="1400" b="1">
            <a:solidFill>
              <a:schemeClr val="bg1"/>
            </a:solidFill>
          </a:endParaRPr>
        </a:p>
      </xdr:txBody>
    </xdr:sp>
    <xdr:clientData/>
  </xdr:oneCellAnchor>
  <xdr:oneCellAnchor>
    <xdr:from>
      <xdr:col>12</xdr:col>
      <xdr:colOff>603771</xdr:colOff>
      <xdr:row>28</xdr:row>
      <xdr:rowOff>20820</xdr:rowOff>
    </xdr:from>
    <xdr:ext cx="184731" cy="264560"/>
    <xdr:sp macro="" textlink="">
      <xdr:nvSpPr>
        <xdr:cNvPr id="37" name="TextBox 36">
          <a:extLst>
            <a:ext uri="{FF2B5EF4-FFF2-40B4-BE49-F238E27FC236}">
              <a16:creationId xmlns:a16="http://schemas.microsoft.com/office/drawing/2014/main" id="{BCC5068F-BEEF-2B0A-9741-F2AB2CB0B956}"/>
            </a:ext>
          </a:extLst>
        </xdr:cNvPr>
        <xdr:cNvSpPr txBox="1"/>
      </xdr:nvSpPr>
      <xdr:spPr>
        <a:xfrm>
          <a:off x="6745574" y="497590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402043</xdr:colOff>
      <xdr:row>30</xdr:row>
      <xdr:rowOff>31231</xdr:rowOff>
    </xdr:from>
    <xdr:ext cx="1012521" cy="311496"/>
    <xdr:sp macro="" textlink="">
      <xdr:nvSpPr>
        <xdr:cNvPr id="39" name="TextBox 38">
          <a:extLst>
            <a:ext uri="{FF2B5EF4-FFF2-40B4-BE49-F238E27FC236}">
              <a16:creationId xmlns:a16="http://schemas.microsoft.com/office/drawing/2014/main" id="{B4048DD0-555F-4D78-1B58-12D1DFEAD4A8}"/>
            </a:ext>
          </a:extLst>
        </xdr:cNvPr>
        <xdr:cNvSpPr txBox="1"/>
      </xdr:nvSpPr>
      <xdr:spPr>
        <a:xfrm>
          <a:off x="6530531" y="5347510"/>
          <a:ext cx="101252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a:solidFill>
                <a:schemeClr val="bg1"/>
              </a:solidFill>
            </a:rPr>
            <a:t>  Developer</a:t>
          </a:r>
        </a:p>
      </xdr:txBody>
    </xdr:sp>
    <xdr:clientData/>
  </xdr:oneCellAnchor>
  <xdr:oneCellAnchor>
    <xdr:from>
      <xdr:col>10</xdr:col>
      <xdr:colOff>404165</xdr:colOff>
      <xdr:row>31</xdr:row>
      <xdr:rowOff>139587</xdr:rowOff>
    </xdr:from>
    <xdr:ext cx="1294137" cy="311496"/>
    <xdr:sp macro="" textlink="">
      <xdr:nvSpPr>
        <xdr:cNvPr id="40" name="TextBox 39">
          <a:extLst>
            <a:ext uri="{FF2B5EF4-FFF2-40B4-BE49-F238E27FC236}">
              <a16:creationId xmlns:a16="http://schemas.microsoft.com/office/drawing/2014/main" id="{A928029F-3AD8-A1A6-3163-422DEFD5D726}"/>
            </a:ext>
          </a:extLst>
        </xdr:cNvPr>
        <xdr:cNvSpPr txBox="1"/>
      </xdr:nvSpPr>
      <xdr:spPr>
        <a:xfrm>
          <a:off x="6532653" y="5633075"/>
          <a:ext cx="129413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100">
              <a:solidFill>
                <a:schemeClr val="bg1"/>
              </a:solidFill>
              <a:effectLst/>
              <a:latin typeface="+mn-lt"/>
              <a:ea typeface="+mn-ea"/>
              <a:cs typeface="+mn-cs"/>
            </a:rPr>
            <a:t>  </a:t>
          </a:r>
          <a:r>
            <a:rPr lang="en-IN" sz="1400" b="1" i="0">
              <a:solidFill>
                <a:schemeClr val="bg1"/>
              </a:solidFill>
              <a:effectLst/>
              <a:latin typeface="+mn-lt"/>
              <a:ea typeface="+mn-ea"/>
              <a:cs typeface="+mn-cs"/>
            </a:rPr>
            <a:t>HR Specialist</a:t>
          </a:r>
          <a:r>
            <a:rPr lang="en-IN" sz="1400" b="1">
              <a:solidFill>
                <a:schemeClr val="bg1"/>
              </a:solidFill>
              <a:effectLst/>
              <a:latin typeface="+mn-lt"/>
              <a:ea typeface="+mn-ea"/>
              <a:cs typeface="+mn-cs"/>
            </a:rPr>
            <a:t>  </a:t>
          </a:r>
          <a:endParaRPr lang="en-IN" sz="1400" b="1">
            <a:solidFill>
              <a:schemeClr val="bg1"/>
            </a:solidFill>
          </a:endParaRPr>
        </a:p>
      </xdr:txBody>
    </xdr:sp>
    <xdr:clientData/>
  </xdr:oneCellAnchor>
  <xdr:oneCellAnchor>
    <xdr:from>
      <xdr:col>13</xdr:col>
      <xdr:colOff>103482</xdr:colOff>
      <xdr:row>25</xdr:row>
      <xdr:rowOff>65367</xdr:rowOff>
    </xdr:from>
    <xdr:ext cx="730585" cy="311496"/>
    <xdr:sp macro="" textlink="pivot!E13">
      <xdr:nvSpPr>
        <xdr:cNvPr id="41" name="TextBox 40">
          <a:extLst>
            <a:ext uri="{FF2B5EF4-FFF2-40B4-BE49-F238E27FC236}">
              <a16:creationId xmlns:a16="http://schemas.microsoft.com/office/drawing/2014/main" id="{30C14522-2E0C-C419-ED7D-BCF201478CF6}"/>
            </a:ext>
          </a:extLst>
        </xdr:cNvPr>
        <xdr:cNvSpPr txBox="1"/>
      </xdr:nvSpPr>
      <xdr:spPr>
        <a:xfrm>
          <a:off x="6863159" y="4418190"/>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328CFF-D9EB-448C-8CAC-9F6F07511645}" type="TxLink">
            <a:rPr lang="en-US" sz="1400" b="1" i="0" u="none" strike="noStrike">
              <a:solidFill>
                <a:schemeClr val="bg1"/>
              </a:solidFill>
              <a:latin typeface="Aptos Narrow"/>
            </a:rPr>
            <a:pPr/>
            <a:t>167041</a:t>
          </a:fld>
          <a:endParaRPr lang="en-IN" sz="1400" b="1">
            <a:solidFill>
              <a:schemeClr val="bg1"/>
            </a:solidFill>
          </a:endParaRPr>
        </a:p>
      </xdr:txBody>
    </xdr:sp>
    <xdr:clientData/>
  </xdr:oneCellAnchor>
  <xdr:oneCellAnchor>
    <xdr:from>
      <xdr:col>13</xdr:col>
      <xdr:colOff>121397</xdr:colOff>
      <xdr:row>26</xdr:row>
      <xdr:rowOff>158751</xdr:rowOff>
    </xdr:from>
    <xdr:ext cx="730585" cy="311496"/>
    <xdr:sp macro="" textlink="pivot!E14">
      <xdr:nvSpPr>
        <xdr:cNvPr id="43" name="TextBox 42">
          <a:extLst>
            <a:ext uri="{FF2B5EF4-FFF2-40B4-BE49-F238E27FC236}">
              <a16:creationId xmlns:a16="http://schemas.microsoft.com/office/drawing/2014/main" id="{90EDD1AA-B5CB-7904-5A36-D553EF6D9028}"/>
            </a:ext>
          </a:extLst>
        </xdr:cNvPr>
        <xdr:cNvSpPr txBox="1"/>
      </xdr:nvSpPr>
      <xdr:spPr>
        <a:xfrm>
          <a:off x="6798235" y="4771839"/>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141CD4-B15B-4D6F-ADBA-3A8075AEF074}" type="TxLink">
            <a:rPr lang="en-US" sz="1400" b="1" i="0" u="none" strike="noStrike">
              <a:solidFill>
                <a:schemeClr val="bg1"/>
              </a:solidFill>
              <a:latin typeface="Aptos Narrow"/>
            </a:rPr>
            <a:pPr/>
            <a:t>613842</a:t>
          </a:fld>
          <a:endParaRPr lang="en-IN" sz="1400" b="1">
            <a:solidFill>
              <a:schemeClr val="bg1"/>
            </a:solidFill>
          </a:endParaRPr>
        </a:p>
      </xdr:txBody>
    </xdr:sp>
    <xdr:clientData/>
  </xdr:oneCellAnchor>
  <xdr:oneCellAnchor>
    <xdr:from>
      <xdr:col>13</xdr:col>
      <xdr:colOff>103482</xdr:colOff>
      <xdr:row>30</xdr:row>
      <xdr:rowOff>28014</xdr:rowOff>
    </xdr:from>
    <xdr:ext cx="730585" cy="311496"/>
    <xdr:sp macro="" textlink="pivot!E15">
      <xdr:nvSpPr>
        <xdr:cNvPr id="44" name="TextBox 43">
          <a:extLst>
            <a:ext uri="{FF2B5EF4-FFF2-40B4-BE49-F238E27FC236}">
              <a16:creationId xmlns:a16="http://schemas.microsoft.com/office/drawing/2014/main" id="{CE43347F-31FC-F8B6-F4B2-D0516AAFAA15}"/>
            </a:ext>
          </a:extLst>
        </xdr:cNvPr>
        <xdr:cNvSpPr txBox="1"/>
      </xdr:nvSpPr>
      <xdr:spPr>
        <a:xfrm>
          <a:off x="6863159" y="5251401"/>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2E6B61-EEE2-4B89-839D-1773E6B0BA2B}" type="TxLink">
            <a:rPr lang="en-US" sz="1400" b="1" i="0" u="none" strike="noStrike">
              <a:solidFill>
                <a:schemeClr val="bg1"/>
              </a:solidFill>
              <a:latin typeface="Aptos Narrow"/>
            </a:rPr>
            <a:pPr/>
            <a:t>633594</a:t>
          </a:fld>
          <a:endParaRPr lang="en-IN" sz="1400" b="1">
            <a:solidFill>
              <a:schemeClr val="bg1"/>
            </a:solidFill>
          </a:endParaRPr>
        </a:p>
      </xdr:txBody>
    </xdr:sp>
    <xdr:clientData/>
  </xdr:oneCellAnchor>
  <xdr:oneCellAnchor>
    <xdr:from>
      <xdr:col>13</xdr:col>
      <xdr:colOff>103482</xdr:colOff>
      <xdr:row>28</xdr:row>
      <xdr:rowOff>65369</xdr:rowOff>
    </xdr:from>
    <xdr:ext cx="730585" cy="311496"/>
    <xdr:sp macro="" textlink="pivot!E17">
      <xdr:nvSpPr>
        <xdr:cNvPr id="45" name="TextBox 44">
          <a:extLst>
            <a:ext uri="{FF2B5EF4-FFF2-40B4-BE49-F238E27FC236}">
              <a16:creationId xmlns:a16="http://schemas.microsoft.com/office/drawing/2014/main" id="{05F5E14D-2A36-F241-62FC-E5B82532FCC1}"/>
            </a:ext>
          </a:extLst>
        </xdr:cNvPr>
        <xdr:cNvSpPr txBox="1"/>
      </xdr:nvSpPr>
      <xdr:spPr>
        <a:xfrm>
          <a:off x="6863159" y="4940530"/>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110A6E8-7FC2-4508-98DA-DC9BFAEA7E61}" type="TxLink">
            <a:rPr lang="en-US" sz="1400" b="1" i="0" u="none" strike="noStrike">
              <a:solidFill>
                <a:schemeClr val="bg1"/>
              </a:solidFill>
              <a:latin typeface="Aptos Narrow"/>
            </a:rPr>
            <a:pPr/>
            <a:t>731170</a:t>
          </a:fld>
          <a:endParaRPr lang="en-IN" sz="1400" b="1">
            <a:solidFill>
              <a:schemeClr val="bg1"/>
            </a:solidFill>
          </a:endParaRPr>
        </a:p>
      </xdr:txBody>
    </xdr:sp>
    <xdr:clientData/>
  </xdr:oneCellAnchor>
  <xdr:oneCellAnchor>
    <xdr:from>
      <xdr:col>13</xdr:col>
      <xdr:colOff>103482</xdr:colOff>
      <xdr:row>31</xdr:row>
      <xdr:rowOff>112058</xdr:rowOff>
    </xdr:from>
    <xdr:ext cx="730585" cy="311496"/>
    <xdr:sp macro="" textlink="pivot!E16">
      <xdr:nvSpPr>
        <xdr:cNvPr id="46" name="TextBox 45">
          <a:extLst>
            <a:ext uri="{FF2B5EF4-FFF2-40B4-BE49-F238E27FC236}">
              <a16:creationId xmlns:a16="http://schemas.microsoft.com/office/drawing/2014/main" id="{5D3EF5BF-EFC6-B481-DD16-5D292F2681B6}"/>
            </a:ext>
          </a:extLst>
        </xdr:cNvPr>
        <xdr:cNvSpPr txBox="1"/>
      </xdr:nvSpPr>
      <xdr:spPr>
        <a:xfrm>
          <a:off x="6863159" y="5509558"/>
          <a:ext cx="7305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D971BC1-A8F4-4127-BAB2-6F17BDF2F135}" type="TxLink">
            <a:rPr lang="en-US" sz="1400" b="1" i="0" u="none" strike="noStrike">
              <a:solidFill>
                <a:schemeClr val="bg1"/>
              </a:solidFill>
              <a:latin typeface="Aptos Narrow"/>
            </a:rPr>
            <a:pPr/>
            <a:t>959266</a:t>
          </a:fld>
          <a:endParaRPr lang="en-IN" sz="1400" b="1">
            <a:solidFill>
              <a:schemeClr val="bg1"/>
            </a:solidFill>
          </a:endParaRPr>
        </a:p>
      </xdr:txBody>
    </xdr:sp>
    <xdr:clientData/>
  </xdr:oneCellAnchor>
  <xdr:twoCellAnchor>
    <xdr:from>
      <xdr:col>13</xdr:col>
      <xdr:colOff>97981</xdr:colOff>
      <xdr:row>23</xdr:row>
      <xdr:rowOff>158750</xdr:rowOff>
    </xdr:from>
    <xdr:to>
      <xdr:col>14</xdr:col>
      <xdr:colOff>322097</xdr:colOff>
      <xdr:row>25</xdr:row>
      <xdr:rowOff>56029</xdr:rowOff>
    </xdr:to>
    <xdr:sp macro="" textlink="">
      <xdr:nvSpPr>
        <xdr:cNvPr id="47" name="Rectangle: Rounded Corners 46">
          <a:extLst>
            <a:ext uri="{FF2B5EF4-FFF2-40B4-BE49-F238E27FC236}">
              <a16:creationId xmlns:a16="http://schemas.microsoft.com/office/drawing/2014/main" id="{50B2C8BB-7A57-93E9-8C46-DE7CCC7D2280}"/>
            </a:ext>
          </a:extLst>
        </xdr:cNvPr>
        <xdr:cNvSpPr/>
      </xdr:nvSpPr>
      <xdr:spPr>
        <a:xfrm>
          <a:off x="6857658" y="4163347"/>
          <a:ext cx="838633" cy="245505"/>
        </a:xfrm>
        <a:prstGeom prst="roundRect">
          <a:avLst/>
        </a:prstGeom>
        <a:solidFill>
          <a:srgbClr val="FFC00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97981</xdr:colOff>
      <xdr:row>28</xdr:row>
      <xdr:rowOff>87033</xdr:rowOff>
    </xdr:from>
    <xdr:to>
      <xdr:col>14</xdr:col>
      <xdr:colOff>322097</xdr:colOff>
      <xdr:row>29</xdr:row>
      <xdr:rowOff>161738</xdr:rowOff>
    </xdr:to>
    <xdr:sp macro="" textlink="">
      <xdr:nvSpPr>
        <xdr:cNvPr id="54" name="Rectangle: Rounded Corners 53">
          <a:extLst>
            <a:ext uri="{FF2B5EF4-FFF2-40B4-BE49-F238E27FC236}">
              <a16:creationId xmlns:a16="http://schemas.microsoft.com/office/drawing/2014/main" id="{6E12655D-9ACB-43A2-8BDC-7DB7E265B5CA}"/>
            </a:ext>
          </a:extLst>
        </xdr:cNvPr>
        <xdr:cNvSpPr/>
      </xdr:nvSpPr>
      <xdr:spPr>
        <a:xfrm>
          <a:off x="6857658" y="4962194"/>
          <a:ext cx="838633" cy="248818"/>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97981</xdr:colOff>
      <xdr:row>30</xdr:row>
      <xdr:rowOff>44232</xdr:rowOff>
    </xdr:from>
    <xdr:to>
      <xdr:col>14</xdr:col>
      <xdr:colOff>322097</xdr:colOff>
      <xdr:row>31</xdr:row>
      <xdr:rowOff>118937</xdr:rowOff>
    </xdr:to>
    <xdr:sp macro="" textlink="">
      <xdr:nvSpPr>
        <xdr:cNvPr id="55" name="Rectangle: Rounded Corners 54">
          <a:extLst>
            <a:ext uri="{FF2B5EF4-FFF2-40B4-BE49-F238E27FC236}">
              <a16:creationId xmlns:a16="http://schemas.microsoft.com/office/drawing/2014/main" id="{4F63FE1F-5E41-4F36-B6A3-5B30146BB130}"/>
            </a:ext>
          </a:extLst>
        </xdr:cNvPr>
        <xdr:cNvSpPr/>
      </xdr:nvSpPr>
      <xdr:spPr>
        <a:xfrm>
          <a:off x="6857658" y="5267619"/>
          <a:ext cx="838633" cy="248818"/>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97981</xdr:colOff>
      <xdr:row>31</xdr:row>
      <xdr:rowOff>149038</xdr:rowOff>
    </xdr:from>
    <xdr:to>
      <xdr:col>14</xdr:col>
      <xdr:colOff>322097</xdr:colOff>
      <xdr:row>33</xdr:row>
      <xdr:rowOff>46317</xdr:rowOff>
    </xdr:to>
    <xdr:sp macro="" textlink="">
      <xdr:nvSpPr>
        <xdr:cNvPr id="56" name="Rectangle: Rounded Corners 55">
          <a:extLst>
            <a:ext uri="{FF2B5EF4-FFF2-40B4-BE49-F238E27FC236}">
              <a16:creationId xmlns:a16="http://schemas.microsoft.com/office/drawing/2014/main" id="{5FBB1F4A-9A01-440B-9779-6B729FF307BA}"/>
            </a:ext>
          </a:extLst>
        </xdr:cNvPr>
        <xdr:cNvSpPr/>
      </xdr:nvSpPr>
      <xdr:spPr>
        <a:xfrm>
          <a:off x="6857658" y="5546538"/>
          <a:ext cx="838633" cy="245505"/>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97981</xdr:colOff>
      <xdr:row>25</xdr:row>
      <xdr:rowOff>96604</xdr:rowOff>
    </xdr:from>
    <xdr:to>
      <xdr:col>14</xdr:col>
      <xdr:colOff>322097</xdr:colOff>
      <xdr:row>26</xdr:row>
      <xdr:rowOff>171310</xdr:rowOff>
    </xdr:to>
    <xdr:sp macro="" textlink="">
      <xdr:nvSpPr>
        <xdr:cNvPr id="57" name="Rectangle: Rounded Corners 56">
          <a:extLst>
            <a:ext uri="{FF2B5EF4-FFF2-40B4-BE49-F238E27FC236}">
              <a16:creationId xmlns:a16="http://schemas.microsoft.com/office/drawing/2014/main" id="{F6C009CB-B4D7-4268-9E6B-CAF6F4BBACBF}"/>
            </a:ext>
          </a:extLst>
        </xdr:cNvPr>
        <xdr:cNvSpPr/>
      </xdr:nvSpPr>
      <xdr:spPr>
        <a:xfrm>
          <a:off x="6857658" y="4449427"/>
          <a:ext cx="838633" cy="248818"/>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90426</xdr:colOff>
      <xdr:row>27</xdr:row>
      <xdr:rowOff>11331</xdr:rowOff>
    </xdr:from>
    <xdr:to>
      <xdr:col>14</xdr:col>
      <xdr:colOff>314542</xdr:colOff>
      <xdr:row>28</xdr:row>
      <xdr:rowOff>82723</xdr:rowOff>
    </xdr:to>
    <xdr:sp macro="" textlink="">
      <xdr:nvSpPr>
        <xdr:cNvPr id="58" name="Rectangle: Rounded Corners 57">
          <a:extLst>
            <a:ext uri="{FF2B5EF4-FFF2-40B4-BE49-F238E27FC236}">
              <a16:creationId xmlns:a16="http://schemas.microsoft.com/office/drawing/2014/main" id="{A01FF220-2572-42B0-B5F0-95C789A43444}"/>
            </a:ext>
          </a:extLst>
        </xdr:cNvPr>
        <xdr:cNvSpPr/>
      </xdr:nvSpPr>
      <xdr:spPr>
        <a:xfrm>
          <a:off x="6850103" y="4712379"/>
          <a:ext cx="838633" cy="245505"/>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97981</xdr:colOff>
      <xdr:row>23</xdr:row>
      <xdr:rowOff>122903</xdr:rowOff>
    </xdr:from>
    <xdr:ext cx="854519" cy="325335"/>
    <xdr:sp macro="" textlink="pivot!E18">
      <xdr:nvSpPr>
        <xdr:cNvPr id="59" name="TextBox 58">
          <a:extLst>
            <a:ext uri="{FF2B5EF4-FFF2-40B4-BE49-F238E27FC236}">
              <a16:creationId xmlns:a16="http://schemas.microsoft.com/office/drawing/2014/main" id="{2A937038-D24C-4756-99E6-394856EBF08D}"/>
            </a:ext>
          </a:extLst>
        </xdr:cNvPr>
        <xdr:cNvSpPr txBox="1"/>
      </xdr:nvSpPr>
      <xdr:spPr>
        <a:xfrm>
          <a:off x="6857658" y="4127500"/>
          <a:ext cx="854519" cy="325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56CEC9D-BB42-468E-988E-B678E1ACE7E4}" type="TxLink">
            <a:rPr lang="en-US" sz="1400" b="1" i="0" u="none" strike="noStrike">
              <a:solidFill>
                <a:schemeClr val="tx1"/>
              </a:solidFill>
              <a:latin typeface="Aptos Narrow"/>
            </a:rPr>
            <a:pPr/>
            <a:t>3104913</a:t>
          </a:fld>
          <a:endParaRPr lang="en-IN" sz="1400" b="1">
            <a:solidFill>
              <a:schemeClr val="tx1"/>
            </a:solidFill>
          </a:endParaRPr>
        </a:p>
      </xdr:txBody>
    </xdr:sp>
    <xdr:clientData/>
  </xdr:oneCellAnchor>
  <xdr:oneCellAnchor>
    <xdr:from>
      <xdr:col>10</xdr:col>
      <xdr:colOff>389194</xdr:colOff>
      <xdr:row>20</xdr:row>
      <xdr:rowOff>71694</xdr:rowOff>
    </xdr:from>
    <xdr:ext cx="874214" cy="342851"/>
    <xdr:sp macro="" textlink="">
      <xdr:nvSpPr>
        <xdr:cNvPr id="60" name="TextBox 59">
          <a:extLst>
            <a:ext uri="{FF2B5EF4-FFF2-40B4-BE49-F238E27FC236}">
              <a16:creationId xmlns:a16="http://schemas.microsoft.com/office/drawing/2014/main" id="{59EE3F73-BBA5-5F7F-4746-ACFB3D969B19}"/>
            </a:ext>
          </a:extLst>
        </xdr:cNvPr>
        <xdr:cNvSpPr txBox="1"/>
      </xdr:nvSpPr>
      <xdr:spPr>
        <a:xfrm>
          <a:off x="5305323" y="3553952"/>
          <a:ext cx="87421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C000"/>
              </a:solidFill>
            </a:rPr>
            <a:t>Salaries</a:t>
          </a:r>
        </a:p>
      </xdr:txBody>
    </xdr:sp>
    <xdr:clientData/>
  </xdr:oneCellAnchor>
  <xdr:oneCellAnchor>
    <xdr:from>
      <xdr:col>10</xdr:col>
      <xdr:colOff>389193</xdr:colOff>
      <xdr:row>21</xdr:row>
      <xdr:rowOff>158121</xdr:rowOff>
    </xdr:from>
    <xdr:ext cx="1895584" cy="280205"/>
    <xdr:sp macro="" textlink="">
      <xdr:nvSpPr>
        <xdr:cNvPr id="61" name="TextBox 60">
          <a:extLst>
            <a:ext uri="{FF2B5EF4-FFF2-40B4-BE49-F238E27FC236}">
              <a16:creationId xmlns:a16="http://schemas.microsoft.com/office/drawing/2014/main" id="{44739EE5-2923-3C7A-282C-7A65760A4C52}"/>
            </a:ext>
          </a:extLst>
        </xdr:cNvPr>
        <xdr:cNvSpPr txBox="1"/>
      </xdr:nvSpPr>
      <xdr:spPr>
        <a:xfrm>
          <a:off x="6517681" y="3879516"/>
          <a:ext cx="18955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Salary Amount By job Titles</a:t>
          </a:r>
        </a:p>
      </xdr:txBody>
    </xdr:sp>
    <xdr:clientData/>
  </xdr:oneCellAnchor>
  <xdr:twoCellAnchor>
    <xdr:from>
      <xdr:col>15</xdr:col>
      <xdr:colOff>247278</xdr:colOff>
      <xdr:row>10</xdr:row>
      <xdr:rowOff>3287</xdr:rowOff>
    </xdr:from>
    <xdr:to>
      <xdr:col>20</xdr:col>
      <xdr:colOff>126106</xdr:colOff>
      <xdr:row>18</xdr:row>
      <xdr:rowOff>129482</xdr:rowOff>
    </xdr:to>
    <xdr:sp macro="" textlink="">
      <xdr:nvSpPr>
        <xdr:cNvPr id="63" name="Rectangle: Rounded Corners 62">
          <a:extLst>
            <a:ext uri="{FF2B5EF4-FFF2-40B4-BE49-F238E27FC236}">
              <a16:creationId xmlns:a16="http://schemas.microsoft.com/office/drawing/2014/main" id="{67BAE6C1-BC44-4405-AFA4-1F64C51C9521}"/>
            </a:ext>
          </a:extLst>
        </xdr:cNvPr>
        <xdr:cNvSpPr/>
      </xdr:nvSpPr>
      <xdr:spPr>
        <a:xfrm>
          <a:off x="8212629" y="1785743"/>
          <a:ext cx="2942424" cy="1552160"/>
        </a:xfrm>
        <a:prstGeom prst="roundRect">
          <a:avLst>
            <a:gd name="adj" fmla="val 62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 Kul;im Park"/>
          </a:endParaRPr>
        </a:p>
      </xdr:txBody>
    </xdr:sp>
    <xdr:clientData/>
  </xdr:twoCellAnchor>
  <xdr:twoCellAnchor>
    <xdr:from>
      <xdr:col>14</xdr:col>
      <xdr:colOff>601578</xdr:colOff>
      <xdr:row>20</xdr:row>
      <xdr:rowOff>11140</xdr:rowOff>
    </xdr:from>
    <xdr:to>
      <xdr:col>18</xdr:col>
      <xdr:colOff>22280</xdr:colOff>
      <xdr:row>27</xdr:row>
      <xdr:rowOff>133683</xdr:rowOff>
    </xdr:to>
    <xdr:graphicFrame macro="">
      <xdr:nvGraphicFramePr>
        <xdr:cNvPr id="2048" name="Chart 2047">
          <a:extLst>
            <a:ext uri="{FF2B5EF4-FFF2-40B4-BE49-F238E27FC236}">
              <a16:creationId xmlns:a16="http://schemas.microsoft.com/office/drawing/2014/main" id="{E669585B-A105-4242-9B02-1AD080AAC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311910</xdr:colOff>
      <xdr:row>21</xdr:row>
      <xdr:rowOff>9932</xdr:rowOff>
    </xdr:from>
    <xdr:to>
      <xdr:col>10</xdr:col>
      <xdr:colOff>445594</xdr:colOff>
      <xdr:row>21</xdr:row>
      <xdr:rowOff>138552</xdr:rowOff>
    </xdr:to>
    <xdr:sp macro="" textlink="">
      <xdr:nvSpPr>
        <xdr:cNvPr id="2050" name="Flowchart: Connector 2049">
          <a:extLst>
            <a:ext uri="{FF2B5EF4-FFF2-40B4-BE49-F238E27FC236}">
              <a16:creationId xmlns:a16="http://schemas.microsoft.com/office/drawing/2014/main" id="{F2899093-6186-1DD3-65D2-8F0744E113FE}"/>
            </a:ext>
          </a:extLst>
        </xdr:cNvPr>
        <xdr:cNvSpPr/>
      </xdr:nvSpPr>
      <xdr:spPr>
        <a:xfrm>
          <a:off x="5207183" y="3646750"/>
          <a:ext cx="133684" cy="12862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334209</xdr:colOff>
      <xdr:row>28</xdr:row>
      <xdr:rowOff>111404</xdr:rowOff>
    </xdr:from>
    <xdr:to>
      <xdr:col>15</xdr:col>
      <xdr:colOff>467893</xdr:colOff>
      <xdr:row>29</xdr:row>
      <xdr:rowOff>66842</xdr:rowOff>
    </xdr:to>
    <xdr:sp macro="" textlink="">
      <xdr:nvSpPr>
        <xdr:cNvPr id="2055" name="Flowchart: Connector 2054">
          <a:extLst>
            <a:ext uri="{FF2B5EF4-FFF2-40B4-BE49-F238E27FC236}">
              <a16:creationId xmlns:a16="http://schemas.microsoft.com/office/drawing/2014/main" id="{3CC5EF2F-686B-43CF-9062-3CE6D25CE6F6}"/>
            </a:ext>
          </a:extLst>
        </xdr:cNvPr>
        <xdr:cNvSpPr/>
      </xdr:nvSpPr>
      <xdr:spPr>
        <a:xfrm>
          <a:off x="8299560" y="5102281"/>
          <a:ext cx="133684" cy="133684"/>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18</xdr:col>
      <xdr:colOff>29864</xdr:colOff>
      <xdr:row>21</xdr:row>
      <xdr:rowOff>118976</xdr:rowOff>
    </xdr:from>
    <xdr:to>
      <xdr:col>18</xdr:col>
      <xdr:colOff>163548</xdr:colOff>
      <xdr:row>22</xdr:row>
      <xdr:rowOff>74414</xdr:rowOff>
    </xdr:to>
    <xdr:sp macro="" textlink="">
      <xdr:nvSpPr>
        <xdr:cNvPr id="2056" name="Flowchart: Connector 2055">
          <a:extLst>
            <a:ext uri="{FF2B5EF4-FFF2-40B4-BE49-F238E27FC236}">
              <a16:creationId xmlns:a16="http://schemas.microsoft.com/office/drawing/2014/main" id="{2AD0DFA5-EC3D-4E1C-8940-016193A6B367}"/>
            </a:ext>
          </a:extLst>
        </xdr:cNvPr>
        <xdr:cNvSpPr/>
      </xdr:nvSpPr>
      <xdr:spPr>
        <a:xfrm>
          <a:off x="9833373" y="3862134"/>
          <a:ext cx="133684" cy="133684"/>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159940</xdr:colOff>
      <xdr:row>25</xdr:row>
      <xdr:rowOff>37433</xdr:rowOff>
    </xdr:from>
    <xdr:to>
      <xdr:col>8</xdr:col>
      <xdr:colOff>293624</xdr:colOff>
      <xdr:row>25</xdr:row>
      <xdr:rowOff>171117</xdr:rowOff>
    </xdr:to>
    <xdr:sp macro="" textlink="">
      <xdr:nvSpPr>
        <xdr:cNvPr id="2057" name="Flowchart: Connector 2056">
          <a:extLst>
            <a:ext uri="{FF2B5EF4-FFF2-40B4-BE49-F238E27FC236}">
              <a16:creationId xmlns:a16="http://schemas.microsoft.com/office/drawing/2014/main" id="{43E5831C-5CE2-4FF7-9269-9387BF51C0B4}"/>
            </a:ext>
          </a:extLst>
        </xdr:cNvPr>
        <xdr:cNvSpPr/>
      </xdr:nvSpPr>
      <xdr:spPr>
        <a:xfrm>
          <a:off x="3836256" y="4493573"/>
          <a:ext cx="133684" cy="133684"/>
        </a:xfrm>
        <a:prstGeom prst="flowChartConnector">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18</xdr:col>
      <xdr:colOff>45007</xdr:colOff>
      <xdr:row>28</xdr:row>
      <xdr:rowOff>122990</xdr:rowOff>
    </xdr:from>
    <xdr:to>
      <xdr:col>18</xdr:col>
      <xdr:colOff>178691</xdr:colOff>
      <xdr:row>29</xdr:row>
      <xdr:rowOff>78428</xdr:rowOff>
    </xdr:to>
    <xdr:sp macro="" textlink="">
      <xdr:nvSpPr>
        <xdr:cNvPr id="2058" name="Flowchart: Connector 2057">
          <a:extLst>
            <a:ext uri="{FF2B5EF4-FFF2-40B4-BE49-F238E27FC236}">
              <a16:creationId xmlns:a16="http://schemas.microsoft.com/office/drawing/2014/main" id="{8896CCAE-6462-4373-8529-246750F2C990}"/>
            </a:ext>
          </a:extLst>
        </xdr:cNvPr>
        <xdr:cNvSpPr/>
      </xdr:nvSpPr>
      <xdr:spPr>
        <a:xfrm>
          <a:off x="9848516" y="5113867"/>
          <a:ext cx="133684" cy="133684"/>
        </a:xfrm>
        <a:prstGeom prst="flowChartConnector">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75000"/>
              </a:schemeClr>
            </a:solidFill>
          </a:endParaRPr>
        </a:p>
      </xdr:txBody>
    </xdr:sp>
    <xdr:clientData/>
  </xdr:twoCellAnchor>
  <xdr:twoCellAnchor>
    <xdr:from>
      <xdr:col>8</xdr:col>
      <xdr:colOff>152812</xdr:colOff>
      <xdr:row>23</xdr:row>
      <xdr:rowOff>163987</xdr:rowOff>
    </xdr:from>
    <xdr:to>
      <xdr:col>8</xdr:col>
      <xdr:colOff>286496</xdr:colOff>
      <xdr:row>24</xdr:row>
      <xdr:rowOff>119425</xdr:rowOff>
    </xdr:to>
    <xdr:sp macro="" textlink="">
      <xdr:nvSpPr>
        <xdr:cNvPr id="2059" name="Flowchart: Connector 2058">
          <a:extLst>
            <a:ext uri="{FF2B5EF4-FFF2-40B4-BE49-F238E27FC236}">
              <a16:creationId xmlns:a16="http://schemas.microsoft.com/office/drawing/2014/main" id="{5D322E91-25CF-4D82-9853-389C9D35F864}"/>
            </a:ext>
          </a:extLst>
        </xdr:cNvPr>
        <xdr:cNvSpPr/>
      </xdr:nvSpPr>
      <xdr:spPr>
        <a:xfrm>
          <a:off x="3829128" y="4263636"/>
          <a:ext cx="133684" cy="133684"/>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278510</xdr:colOff>
      <xdr:row>24</xdr:row>
      <xdr:rowOff>127000</xdr:rowOff>
    </xdr:from>
    <xdr:to>
      <xdr:col>10</xdr:col>
      <xdr:colOff>122545</xdr:colOff>
      <xdr:row>33</xdr:row>
      <xdr:rowOff>89123</xdr:rowOff>
    </xdr:to>
    <xdr:graphicFrame macro="">
      <xdr:nvGraphicFramePr>
        <xdr:cNvPr id="2073" name="Chart 2072">
          <a:extLst>
            <a:ext uri="{FF2B5EF4-FFF2-40B4-BE49-F238E27FC236}">
              <a16:creationId xmlns:a16="http://schemas.microsoft.com/office/drawing/2014/main" id="{4D415FDD-11A9-4457-8E27-54F08998E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479035</xdr:colOff>
      <xdr:row>23</xdr:row>
      <xdr:rowOff>0</xdr:rowOff>
    </xdr:from>
    <xdr:ext cx="184731" cy="264560"/>
    <xdr:sp macro="" textlink="">
      <xdr:nvSpPr>
        <xdr:cNvPr id="2074" name="TextBox 2073">
          <a:extLst>
            <a:ext uri="{FF2B5EF4-FFF2-40B4-BE49-F238E27FC236}">
              <a16:creationId xmlns:a16="http://schemas.microsoft.com/office/drawing/2014/main" id="{D3407650-7068-C8BD-CEEA-FDA4B342D025}"/>
            </a:ext>
          </a:extLst>
        </xdr:cNvPr>
        <xdr:cNvSpPr txBox="1"/>
      </xdr:nvSpPr>
      <xdr:spPr>
        <a:xfrm>
          <a:off x="2317193" y="40996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323070</xdr:colOff>
      <xdr:row>22</xdr:row>
      <xdr:rowOff>77982</xdr:rowOff>
    </xdr:from>
    <xdr:ext cx="2729593" cy="468077"/>
    <xdr:sp macro="" textlink="">
      <xdr:nvSpPr>
        <xdr:cNvPr id="2075" name="TextBox 2074">
          <a:extLst>
            <a:ext uri="{FF2B5EF4-FFF2-40B4-BE49-F238E27FC236}">
              <a16:creationId xmlns:a16="http://schemas.microsoft.com/office/drawing/2014/main" id="{C80F93CE-5E78-0B36-9321-049E94472378}"/>
            </a:ext>
          </a:extLst>
        </xdr:cNvPr>
        <xdr:cNvSpPr txBox="1"/>
      </xdr:nvSpPr>
      <xdr:spPr>
        <a:xfrm>
          <a:off x="2161228" y="3999386"/>
          <a:ext cx="2729593"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No of employees  according to age range</a:t>
          </a:r>
        </a:p>
        <a:p>
          <a:r>
            <a:rPr lang="en-IN" sz="1200" b="1">
              <a:solidFill>
                <a:schemeClr val="bg1"/>
              </a:solidFill>
            </a:rPr>
            <a:t> and genders</a:t>
          </a:r>
        </a:p>
      </xdr:txBody>
    </xdr:sp>
    <xdr:clientData/>
  </xdr:oneCellAnchor>
  <xdr:oneCellAnchor>
    <xdr:from>
      <xdr:col>8</xdr:col>
      <xdr:colOff>321045</xdr:colOff>
      <xdr:row>23</xdr:row>
      <xdr:rowOff>112214</xdr:rowOff>
    </xdr:from>
    <xdr:ext cx="578235" cy="248851"/>
    <xdr:sp macro="" textlink="">
      <xdr:nvSpPr>
        <xdr:cNvPr id="2076" name="TextBox 2075">
          <a:extLst>
            <a:ext uri="{FF2B5EF4-FFF2-40B4-BE49-F238E27FC236}">
              <a16:creationId xmlns:a16="http://schemas.microsoft.com/office/drawing/2014/main" id="{32FDCCB0-C483-07B9-8201-3BEC95C0FB32}"/>
            </a:ext>
          </a:extLst>
        </xdr:cNvPr>
        <xdr:cNvSpPr txBox="1"/>
      </xdr:nvSpPr>
      <xdr:spPr>
        <a:xfrm>
          <a:off x="3992500" y="4095396"/>
          <a:ext cx="57823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rgbClr val="FFC000"/>
              </a:solidFill>
            </a:rPr>
            <a:t>Female</a:t>
          </a:r>
        </a:p>
      </xdr:txBody>
    </xdr:sp>
    <xdr:clientData/>
  </xdr:oneCellAnchor>
  <xdr:oneCellAnchor>
    <xdr:from>
      <xdr:col>8</xdr:col>
      <xdr:colOff>334817</xdr:colOff>
      <xdr:row>24</xdr:row>
      <xdr:rowOff>161636</xdr:rowOff>
    </xdr:from>
    <xdr:ext cx="442557" cy="248851"/>
    <xdr:sp macro="" textlink="">
      <xdr:nvSpPr>
        <xdr:cNvPr id="2077" name="TextBox 2076">
          <a:extLst>
            <a:ext uri="{FF2B5EF4-FFF2-40B4-BE49-F238E27FC236}">
              <a16:creationId xmlns:a16="http://schemas.microsoft.com/office/drawing/2014/main" id="{DC8554AE-4F58-9417-8AD1-8F4D58E17747}"/>
            </a:ext>
          </a:extLst>
        </xdr:cNvPr>
        <xdr:cNvSpPr txBox="1"/>
      </xdr:nvSpPr>
      <xdr:spPr>
        <a:xfrm>
          <a:off x="4006272" y="4318000"/>
          <a:ext cx="44255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lumMod val="95000"/>
                </a:schemeClr>
              </a:solidFill>
            </a:rPr>
            <a:t>Male</a:t>
          </a:r>
        </a:p>
      </xdr:txBody>
    </xdr:sp>
    <xdr:clientData/>
  </xdr:oneCellAnchor>
  <xdr:twoCellAnchor>
    <xdr:from>
      <xdr:col>5</xdr:col>
      <xdr:colOff>315951</xdr:colOff>
      <xdr:row>21</xdr:row>
      <xdr:rowOff>56683</xdr:rowOff>
    </xdr:from>
    <xdr:to>
      <xdr:col>5</xdr:col>
      <xdr:colOff>449635</xdr:colOff>
      <xdr:row>22</xdr:row>
      <xdr:rowOff>12121</xdr:rowOff>
    </xdr:to>
    <xdr:sp macro="" textlink="">
      <xdr:nvSpPr>
        <xdr:cNvPr id="2078" name="Flowchart: Connector 2077">
          <a:extLst>
            <a:ext uri="{FF2B5EF4-FFF2-40B4-BE49-F238E27FC236}">
              <a16:creationId xmlns:a16="http://schemas.microsoft.com/office/drawing/2014/main" id="{FA5D9368-65FC-4604-9FE1-4C41E9BC5CB9}"/>
            </a:ext>
          </a:extLst>
        </xdr:cNvPr>
        <xdr:cNvSpPr/>
      </xdr:nvSpPr>
      <xdr:spPr>
        <a:xfrm>
          <a:off x="2149064" y="3830740"/>
          <a:ext cx="133684" cy="13515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233401</xdr:colOff>
      <xdr:row>19</xdr:row>
      <xdr:rowOff>58426</xdr:rowOff>
    </xdr:from>
    <xdr:to>
      <xdr:col>15</xdr:col>
      <xdr:colOff>367085</xdr:colOff>
      <xdr:row>20</xdr:row>
      <xdr:rowOff>13865</xdr:rowOff>
    </xdr:to>
    <xdr:sp macro="" textlink="">
      <xdr:nvSpPr>
        <xdr:cNvPr id="2079" name="Flowchart: Connector 2078">
          <a:extLst>
            <a:ext uri="{FF2B5EF4-FFF2-40B4-BE49-F238E27FC236}">
              <a16:creationId xmlns:a16="http://schemas.microsoft.com/office/drawing/2014/main" id="{E28EFBB2-F187-4C6C-9BCA-994E916779CF}"/>
            </a:ext>
          </a:extLst>
        </xdr:cNvPr>
        <xdr:cNvSpPr/>
      </xdr:nvSpPr>
      <xdr:spPr>
        <a:xfrm>
          <a:off x="8188219" y="3348881"/>
          <a:ext cx="133684" cy="12862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198205</xdr:colOff>
      <xdr:row>26</xdr:row>
      <xdr:rowOff>37686</xdr:rowOff>
    </xdr:from>
    <xdr:to>
      <xdr:col>4</xdr:col>
      <xdr:colOff>467263</xdr:colOff>
      <xdr:row>29</xdr:row>
      <xdr:rowOff>13725</xdr:rowOff>
    </xdr:to>
    <xdr:graphicFrame macro="">
      <xdr:nvGraphicFramePr>
        <xdr:cNvPr id="4" name="Chart 3">
          <a:extLst>
            <a:ext uri="{FF2B5EF4-FFF2-40B4-BE49-F238E27FC236}">
              <a16:creationId xmlns:a16="http://schemas.microsoft.com/office/drawing/2014/main" id="{7587B4A8-10F3-4B38-81CF-6D285E75D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174243</xdr:colOff>
      <xdr:row>28</xdr:row>
      <xdr:rowOff>85174</xdr:rowOff>
    </xdr:from>
    <xdr:to>
      <xdr:col>4</xdr:col>
      <xdr:colOff>443301</xdr:colOff>
      <xdr:row>31</xdr:row>
      <xdr:rowOff>61212</xdr:rowOff>
    </xdr:to>
    <xdr:graphicFrame macro="">
      <xdr:nvGraphicFramePr>
        <xdr:cNvPr id="5" name="Chart 4">
          <a:extLst>
            <a:ext uri="{FF2B5EF4-FFF2-40B4-BE49-F238E27FC236}">
              <a16:creationId xmlns:a16="http://schemas.microsoft.com/office/drawing/2014/main" id="{15C5213C-62AA-4556-86C6-3A35582A6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162262</xdr:colOff>
      <xdr:row>31</xdr:row>
      <xdr:rowOff>23962</xdr:rowOff>
    </xdr:from>
    <xdr:to>
      <xdr:col>4</xdr:col>
      <xdr:colOff>395378</xdr:colOff>
      <xdr:row>34</xdr:row>
      <xdr:rowOff>11981</xdr:rowOff>
    </xdr:to>
    <xdr:graphicFrame macro="">
      <xdr:nvGraphicFramePr>
        <xdr:cNvPr id="6" name="Chart 5">
          <a:extLst>
            <a:ext uri="{FF2B5EF4-FFF2-40B4-BE49-F238E27FC236}">
              <a16:creationId xmlns:a16="http://schemas.microsoft.com/office/drawing/2014/main" id="{A38F6538-14EE-4EC6-923D-0BB425870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395377</xdr:colOff>
      <xdr:row>25</xdr:row>
      <xdr:rowOff>143773</xdr:rowOff>
    </xdr:from>
    <xdr:ext cx="184731" cy="264560"/>
    <xdr:sp macro="" textlink="">
      <xdr:nvSpPr>
        <xdr:cNvPr id="7" name="TextBox 6">
          <a:extLst>
            <a:ext uri="{FF2B5EF4-FFF2-40B4-BE49-F238E27FC236}">
              <a16:creationId xmlns:a16="http://schemas.microsoft.com/office/drawing/2014/main" id="{2CAE39EF-A4BE-5E7C-F618-AE6073F6886E}"/>
            </a:ext>
          </a:extLst>
        </xdr:cNvPr>
        <xdr:cNvSpPr txBox="1"/>
      </xdr:nvSpPr>
      <xdr:spPr>
        <a:xfrm>
          <a:off x="395377" y="463669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215661</xdr:colOff>
      <xdr:row>25</xdr:row>
      <xdr:rowOff>119812</xdr:rowOff>
    </xdr:from>
    <xdr:ext cx="1229504" cy="311496"/>
    <xdr:sp macro="" textlink="">
      <xdr:nvSpPr>
        <xdr:cNvPr id="8" name="TextBox 7">
          <a:extLst>
            <a:ext uri="{FF2B5EF4-FFF2-40B4-BE49-F238E27FC236}">
              <a16:creationId xmlns:a16="http://schemas.microsoft.com/office/drawing/2014/main" id="{BE59AF54-1A80-3A54-0DB2-C5B7A3B2DB70}"/>
            </a:ext>
          </a:extLst>
        </xdr:cNvPr>
        <xdr:cNvSpPr txBox="1"/>
      </xdr:nvSpPr>
      <xdr:spPr>
        <a:xfrm>
          <a:off x="215661" y="4612737"/>
          <a:ext cx="122950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u="none" strike="noStrike">
              <a:solidFill>
                <a:schemeClr val="bg1"/>
              </a:solidFill>
              <a:effectLst/>
              <a:latin typeface="+mn-lt"/>
              <a:ea typeface="+mn-ea"/>
              <a:cs typeface="+mn-cs"/>
            </a:rPr>
            <a:t>Branch Office</a:t>
          </a:r>
          <a:r>
            <a:rPr lang="en-IN" sz="1400" b="1">
              <a:solidFill>
                <a:schemeClr val="bg1"/>
              </a:solidFill>
            </a:rPr>
            <a:t> </a:t>
          </a:r>
        </a:p>
      </xdr:txBody>
    </xdr:sp>
    <xdr:clientData/>
  </xdr:oneCellAnchor>
  <xdr:oneCellAnchor>
    <xdr:from>
      <xdr:col>2</xdr:col>
      <xdr:colOff>239623</xdr:colOff>
      <xdr:row>28</xdr:row>
      <xdr:rowOff>35944</xdr:rowOff>
    </xdr:from>
    <xdr:ext cx="1094339" cy="311496"/>
    <xdr:sp macro="" textlink="">
      <xdr:nvSpPr>
        <xdr:cNvPr id="9" name="TextBox 8">
          <a:extLst>
            <a:ext uri="{FF2B5EF4-FFF2-40B4-BE49-F238E27FC236}">
              <a16:creationId xmlns:a16="http://schemas.microsoft.com/office/drawing/2014/main" id="{DD05AF8C-1E29-5745-E3E0-B185110C0708}"/>
            </a:ext>
          </a:extLst>
        </xdr:cNvPr>
        <xdr:cNvSpPr txBox="1"/>
      </xdr:nvSpPr>
      <xdr:spPr>
        <a:xfrm>
          <a:off x="239623" y="5068019"/>
          <a:ext cx="10943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u="none" strike="noStrike">
              <a:solidFill>
                <a:schemeClr val="bg1"/>
              </a:solidFill>
              <a:effectLst/>
              <a:latin typeface="+mn-lt"/>
              <a:ea typeface="+mn-ea"/>
              <a:cs typeface="+mn-cs"/>
            </a:rPr>
            <a:t>Head Office</a:t>
          </a:r>
          <a:r>
            <a:rPr lang="en-IN" sz="1400" b="1">
              <a:solidFill>
                <a:schemeClr val="bg1"/>
              </a:solidFill>
            </a:rPr>
            <a:t> </a:t>
          </a:r>
        </a:p>
      </xdr:txBody>
    </xdr:sp>
    <xdr:clientData/>
  </xdr:oneCellAnchor>
  <xdr:oneCellAnchor>
    <xdr:from>
      <xdr:col>2</xdr:col>
      <xdr:colOff>275567</xdr:colOff>
      <xdr:row>30</xdr:row>
      <xdr:rowOff>119812</xdr:rowOff>
    </xdr:from>
    <xdr:ext cx="795731" cy="311496"/>
    <xdr:sp macro="" textlink="">
      <xdr:nvSpPr>
        <xdr:cNvPr id="10" name="TextBox 9">
          <a:extLst>
            <a:ext uri="{FF2B5EF4-FFF2-40B4-BE49-F238E27FC236}">
              <a16:creationId xmlns:a16="http://schemas.microsoft.com/office/drawing/2014/main" id="{85F78698-4BD8-8670-92AE-9294ED579C5F}"/>
            </a:ext>
          </a:extLst>
        </xdr:cNvPr>
        <xdr:cNvSpPr txBox="1"/>
      </xdr:nvSpPr>
      <xdr:spPr>
        <a:xfrm>
          <a:off x="275567" y="5511321"/>
          <a:ext cx="795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u="none" strike="noStrike">
              <a:solidFill>
                <a:schemeClr val="bg1"/>
              </a:solidFill>
              <a:effectLst/>
              <a:latin typeface="+mn-lt"/>
              <a:ea typeface="+mn-ea"/>
              <a:cs typeface="+mn-cs"/>
            </a:rPr>
            <a:t>Remote</a:t>
          </a:r>
          <a:r>
            <a:rPr lang="en-IN" sz="1400" b="1">
              <a:solidFill>
                <a:schemeClr val="bg1"/>
              </a:solidFill>
            </a:rPr>
            <a:t> </a:t>
          </a:r>
        </a:p>
      </xdr:txBody>
    </xdr:sp>
    <xdr:clientData/>
  </xdr:oneCellAnchor>
  <xdr:oneCellAnchor>
    <xdr:from>
      <xdr:col>4</xdr:col>
      <xdr:colOff>311510</xdr:colOff>
      <xdr:row>27</xdr:row>
      <xdr:rowOff>2</xdr:rowOff>
    </xdr:from>
    <xdr:ext cx="501740" cy="311496"/>
    <xdr:sp macro="" textlink="pivot!O15">
      <xdr:nvSpPr>
        <xdr:cNvPr id="11" name="TextBox 10">
          <a:extLst>
            <a:ext uri="{FF2B5EF4-FFF2-40B4-BE49-F238E27FC236}">
              <a16:creationId xmlns:a16="http://schemas.microsoft.com/office/drawing/2014/main" id="{028B39FC-22ED-ED64-C548-A03BD223A32D}"/>
            </a:ext>
          </a:extLst>
        </xdr:cNvPr>
        <xdr:cNvSpPr txBox="1"/>
      </xdr:nvSpPr>
      <xdr:spPr>
        <a:xfrm>
          <a:off x="1533585" y="4852360"/>
          <a:ext cx="501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3774154-EEE9-4A26-A7A6-5B99CFD22C8A}" type="TxLink">
            <a:rPr lang="en-US" sz="1400" b="1" i="0" u="none" strike="noStrike">
              <a:solidFill>
                <a:schemeClr val="bg1"/>
              </a:solidFill>
              <a:latin typeface="Aptos Narrow"/>
            </a:rPr>
            <a:pPr/>
            <a:t>46%</a:t>
          </a:fld>
          <a:endParaRPr lang="en-IN" sz="1400">
            <a:solidFill>
              <a:schemeClr val="bg1"/>
            </a:solidFill>
          </a:endParaRPr>
        </a:p>
      </xdr:txBody>
    </xdr:sp>
    <xdr:clientData/>
  </xdr:oneCellAnchor>
  <xdr:oneCellAnchor>
    <xdr:from>
      <xdr:col>4</xdr:col>
      <xdr:colOff>287547</xdr:colOff>
      <xdr:row>28</xdr:row>
      <xdr:rowOff>179716</xdr:rowOff>
    </xdr:from>
    <xdr:ext cx="501740" cy="311496"/>
    <xdr:sp macro="" textlink="pivot!O16">
      <xdr:nvSpPr>
        <xdr:cNvPr id="21" name="TextBox 20">
          <a:extLst>
            <a:ext uri="{FF2B5EF4-FFF2-40B4-BE49-F238E27FC236}">
              <a16:creationId xmlns:a16="http://schemas.microsoft.com/office/drawing/2014/main" id="{CD0F5C77-0E39-4482-42C2-6134F84F6896}"/>
            </a:ext>
          </a:extLst>
        </xdr:cNvPr>
        <xdr:cNvSpPr txBox="1"/>
      </xdr:nvSpPr>
      <xdr:spPr>
        <a:xfrm>
          <a:off x="1509622" y="5211791"/>
          <a:ext cx="501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D0BDF8C-3070-46F4-BEF9-AF50FF306E82}" type="TxLink">
            <a:rPr lang="en-US" sz="1400" b="1" i="0" u="none" strike="noStrike">
              <a:solidFill>
                <a:schemeClr val="bg1"/>
              </a:solidFill>
              <a:latin typeface="Aptos Narrow"/>
            </a:rPr>
            <a:pPr/>
            <a:t>16%</a:t>
          </a:fld>
          <a:endParaRPr lang="en-IN" sz="1400">
            <a:solidFill>
              <a:schemeClr val="bg1"/>
            </a:solidFill>
          </a:endParaRPr>
        </a:p>
      </xdr:txBody>
    </xdr:sp>
    <xdr:clientData/>
  </xdr:oneCellAnchor>
  <xdr:oneCellAnchor>
    <xdr:from>
      <xdr:col>4</xdr:col>
      <xdr:colOff>251604</xdr:colOff>
      <xdr:row>31</xdr:row>
      <xdr:rowOff>131792</xdr:rowOff>
    </xdr:from>
    <xdr:ext cx="501740" cy="311496"/>
    <xdr:sp macro="" textlink="pivot!O17">
      <xdr:nvSpPr>
        <xdr:cNvPr id="26" name="TextBox 25">
          <a:extLst>
            <a:ext uri="{FF2B5EF4-FFF2-40B4-BE49-F238E27FC236}">
              <a16:creationId xmlns:a16="http://schemas.microsoft.com/office/drawing/2014/main" id="{3A575F85-CB53-9E87-1678-C21C4672B2CD}"/>
            </a:ext>
          </a:extLst>
        </xdr:cNvPr>
        <xdr:cNvSpPr txBox="1"/>
      </xdr:nvSpPr>
      <xdr:spPr>
        <a:xfrm>
          <a:off x="1473679" y="5703018"/>
          <a:ext cx="5017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06B6142-2D12-46A2-B8B3-37D6BDCD565A}" type="TxLink">
            <a:rPr lang="en-US" sz="1400" b="1" i="0" u="none" strike="noStrike">
              <a:solidFill>
                <a:schemeClr val="bg1"/>
              </a:solidFill>
              <a:latin typeface="Aptos Narrow"/>
            </a:rPr>
            <a:pPr/>
            <a:t>38%</a:t>
          </a:fld>
          <a:endParaRPr lang="en-IN" sz="1400">
            <a:solidFill>
              <a:schemeClr val="bg1"/>
            </a:solidFill>
          </a:endParaRPr>
        </a:p>
      </xdr:txBody>
    </xdr:sp>
    <xdr:clientData/>
  </xdr:oneCellAnchor>
  <xdr:twoCellAnchor>
    <xdr:from>
      <xdr:col>2</xdr:col>
      <xdr:colOff>114887</xdr:colOff>
      <xdr:row>22</xdr:row>
      <xdr:rowOff>159062</xdr:rowOff>
    </xdr:from>
    <xdr:to>
      <xdr:col>2</xdr:col>
      <xdr:colOff>248571</xdr:colOff>
      <xdr:row>23</xdr:row>
      <xdr:rowOff>114500</xdr:rowOff>
    </xdr:to>
    <xdr:sp macro="" textlink="">
      <xdr:nvSpPr>
        <xdr:cNvPr id="27" name="Flowchart: Connector 26">
          <a:extLst>
            <a:ext uri="{FF2B5EF4-FFF2-40B4-BE49-F238E27FC236}">
              <a16:creationId xmlns:a16="http://schemas.microsoft.com/office/drawing/2014/main" id="{F102D16D-2516-46FD-BE45-00F1FBD59DD5}"/>
            </a:ext>
          </a:extLst>
        </xdr:cNvPr>
        <xdr:cNvSpPr/>
      </xdr:nvSpPr>
      <xdr:spPr>
        <a:xfrm>
          <a:off x="114887" y="4112836"/>
          <a:ext cx="133684" cy="135155"/>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227641</xdr:colOff>
      <xdr:row>23</xdr:row>
      <xdr:rowOff>83869</xdr:rowOff>
    </xdr:from>
    <xdr:ext cx="1482201" cy="468077"/>
    <xdr:sp macro="" textlink="">
      <xdr:nvSpPr>
        <xdr:cNvPr id="28" name="TextBox 27">
          <a:extLst>
            <a:ext uri="{FF2B5EF4-FFF2-40B4-BE49-F238E27FC236}">
              <a16:creationId xmlns:a16="http://schemas.microsoft.com/office/drawing/2014/main" id="{C94B8E9D-3906-5224-A1AB-BB7EF4F57EFA}"/>
            </a:ext>
          </a:extLst>
        </xdr:cNvPr>
        <xdr:cNvSpPr txBox="1"/>
      </xdr:nvSpPr>
      <xdr:spPr>
        <a:xfrm>
          <a:off x="227641" y="4217360"/>
          <a:ext cx="1482201"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Employrees</a:t>
          </a:r>
          <a:r>
            <a:rPr lang="en-IN" sz="1200" b="1" baseline="0">
              <a:solidFill>
                <a:schemeClr val="bg1"/>
              </a:solidFill>
            </a:rPr>
            <a:t> By Work</a:t>
          </a:r>
        </a:p>
        <a:p>
          <a:r>
            <a:rPr lang="en-IN" sz="1200" b="1" baseline="0">
              <a:solidFill>
                <a:schemeClr val="bg1"/>
              </a:solidFill>
            </a:rPr>
            <a:t> Location</a:t>
          </a:r>
          <a:endParaRPr lang="en-IN" sz="1200" b="1">
            <a:solidFill>
              <a:schemeClr val="bg1"/>
            </a:solidFill>
          </a:endParaRPr>
        </a:p>
      </xdr:txBody>
    </xdr:sp>
    <xdr:clientData/>
  </xdr:oneCellAnchor>
  <xdr:oneCellAnchor>
    <xdr:from>
      <xdr:col>2</xdr:col>
      <xdr:colOff>253379</xdr:colOff>
      <xdr:row>15</xdr:row>
      <xdr:rowOff>93438</xdr:rowOff>
    </xdr:from>
    <xdr:ext cx="585417" cy="311496"/>
    <xdr:sp macro="" textlink="">
      <xdr:nvSpPr>
        <xdr:cNvPr id="38" name="TextBox 37">
          <a:extLst>
            <a:ext uri="{FF2B5EF4-FFF2-40B4-BE49-F238E27FC236}">
              <a16:creationId xmlns:a16="http://schemas.microsoft.com/office/drawing/2014/main" id="{A7C86158-8259-2255-A6FF-31A6291F329C}"/>
            </a:ext>
          </a:extLst>
        </xdr:cNvPr>
        <xdr:cNvSpPr txBox="1"/>
      </xdr:nvSpPr>
      <xdr:spPr>
        <a:xfrm>
          <a:off x="253379" y="2691165"/>
          <a:ext cx="58541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Excel</a:t>
          </a:r>
        </a:p>
      </xdr:txBody>
    </xdr:sp>
    <xdr:clientData/>
  </xdr:oneCellAnchor>
  <xdr:oneCellAnchor>
    <xdr:from>
      <xdr:col>2</xdr:col>
      <xdr:colOff>258240</xdr:colOff>
      <xdr:row>13</xdr:row>
      <xdr:rowOff>143329</xdr:rowOff>
    </xdr:from>
    <xdr:ext cx="726289" cy="311496"/>
    <xdr:sp macro="" textlink="">
      <xdr:nvSpPr>
        <xdr:cNvPr id="42" name="TextBox 41">
          <a:extLst>
            <a:ext uri="{FF2B5EF4-FFF2-40B4-BE49-F238E27FC236}">
              <a16:creationId xmlns:a16="http://schemas.microsoft.com/office/drawing/2014/main" id="{315BED7A-E35F-EAB9-29DC-E21D56B8D6E5}"/>
            </a:ext>
          </a:extLst>
        </xdr:cNvPr>
        <xdr:cNvSpPr txBox="1"/>
      </xdr:nvSpPr>
      <xdr:spPr>
        <a:xfrm>
          <a:off x="258240" y="2394693"/>
          <a:ext cx="7262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u="none" strike="noStrike">
              <a:solidFill>
                <a:schemeClr val="bg1"/>
              </a:solidFill>
              <a:effectLst/>
              <a:latin typeface="+mn-lt"/>
              <a:ea typeface="+mn-ea"/>
              <a:cs typeface="+mn-cs"/>
            </a:rPr>
            <a:t>Design</a:t>
          </a:r>
          <a:r>
            <a:rPr lang="en-IN" sz="1400" b="1">
              <a:solidFill>
                <a:schemeClr val="bg1"/>
              </a:solidFill>
            </a:rPr>
            <a:t> </a:t>
          </a:r>
        </a:p>
      </xdr:txBody>
    </xdr:sp>
    <xdr:clientData/>
  </xdr:oneCellAnchor>
  <xdr:oneCellAnchor>
    <xdr:from>
      <xdr:col>2</xdr:col>
      <xdr:colOff>246945</xdr:colOff>
      <xdr:row>12</xdr:row>
      <xdr:rowOff>23518</xdr:rowOff>
    </xdr:from>
    <xdr:ext cx="1237968" cy="311496"/>
    <xdr:sp macro="" textlink="">
      <xdr:nvSpPr>
        <xdr:cNvPr id="48" name="TextBox 47">
          <a:extLst>
            <a:ext uri="{FF2B5EF4-FFF2-40B4-BE49-F238E27FC236}">
              <a16:creationId xmlns:a16="http://schemas.microsoft.com/office/drawing/2014/main" id="{C433E96C-6CEE-B93D-06DE-3DEA28495AD2}"/>
            </a:ext>
          </a:extLst>
        </xdr:cNvPr>
        <xdr:cNvSpPr txBox="1"/>
      </xdr:nvSpPr>
      <xdr:spPr>
        <a:xfrm>
          <a:off x="246945" y="2175462"/>
          <a:ext cx="12379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Comunication</a:t>
          </a:r>
        </a:p>
      </xdr:txBody>
    </xdr:sp>
    <xdr:clientData/>
  </xdr:oneCellAnchor>
  <xdr:oneCellAnchor>
    <xdr:from>
      <xdr:col>2</xdr:col>
      <xdr:colOff>246945</xdr:colOff>
      <xdr:row>16</xdr:row>
      <xdr:rowOff>164629</xdr:rowOff>
    </xdr:from>
    <xdr:ext cx="1183081" cy="311496"/>
    <xdr:sp macro="" textlink="">
      <xdr:nvSpPr>
        <xdr:cNvPr id="49" name="TextBox 48">
          <a:extLst>
            <a:ext uri="{FF2B5EF4-FFF2-40B4-BE49-F238E27FC236}">
              <a16:creationId xmlns:a16="http://schemas.microsoft.com/office/drawing/2014/main" id="{743C100C-4E81-AEBD-4DA4-6FBDD108C77F}"/>
            </a:ext>
          </a:extLst>
        </xdr:cNvPr>
        <xdr:cNvSpPr txBox="1"/>
      </xdr:nvSpPr>
      <xdr:spPr>
        <a:xfrm>
          <a:off x="246945" y="3045648"/>
          <a:ext cx="118308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u="none" strike="noStrike">
              <a:solidFill>
                <a:schemeClr val="bg1"/>
              </a:solidFill>
              <a:effectLst/>
              <a:latin typeface="+mn-lt"/>
              <a:ea typeface="+mn-ea"/>
              <a:cs typeface="+mn-cs"/>
            </a:rPr>
            <a:t>Management</a:t>
          </a:r>
          <a:r>
            <a:rPr lang="en-IN" sz="1400" b="1">
              <a:solidFill>
                <a:schemeClr val="bg1"/>
              </a:solidFill>
            </a:rPr>
            <a:t> </a:t>
          </a:r>
        </a:p>
      </xdr:txBody>
    </xdr:sp>
    <xdr:clientData/>
  </xdr:oneCellAnchor>
  <xdr:twoCellAnchor>
    <xdr:from>
      <xdr:col>2</xdr:col>
      <xdr:colOff>265461</xdr:colOff>
      <xdr:row>18</xdr:row>
      <xdr:rowOff>81588</xdr:rowOff>
    </xdr:from>
    <xdr:to>
      <xdr:col>3</xdr:col>
      <xdr:colOff>568380</xdr:colOff>
      <xdr:row>20</xdr:row>
      <xdr:rowOff>72160</xdr:rowOff>
    </xdr:to>
    <xdr:sp macro="" textlink="">
      <xdr:nvSpPr>
        <xdr:cNvPr id="50" name="TextBox 49">
          <a:extLst>
            <a:ext uri="{FF2B5EF4-FFF2-40B4-BE49-F238E27FC236}">
              <a16:creationId xmlns:a16="http://schemas.microsoft.com/office/drawing/2014/main" id="{8CA04248-7BA6-C116-803D-E82BAEE121BE}"/>
            </a:ext>
          </a:extLst>
        </xdr:cNvPr>
        <xdr:cNvSpPr txBox="1"/>
      </xdr:nvSpPr>
      <xdr:spPr>
        <a:xfrm>
          <a:off x="265461" y="3198861"/>
          <a:ext cx="909055" cy="33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Python</a:t>
          </a:r>
        </a:p>
      </xdr:txBody>
    </xdr:sp>
    <xdr:clientData/>
  </xdr:twoCellAnchor>
  <xdr:oneCellAnchor>
    <xdr:from>
      <xdr:col>4</xdr:col>
      <xdr:colOff>389657</xdr:colOff>
      <xdr:row>12</xdr:row>
      <xdr:rowOff>28862</xdr:rowOff>
    </xdr:from>
    <xdr:ext cx="1702955" cy="311496"/>
    <xdr:sp macro="" textlink="pivot!S14">
      <xdr:nvSpPr>
        <xdr:cNvPr id="51" name="TextBox 50">
          <a:extLst>
            <a:ext uri="{FF2B5EF4-FFF2-40B4-BE49-F238E27FC236}">
              <a16:creationId xmlns:a16="http://schemas.microsoft.com/office/drawing/2014/main" id="{583F5EC6-9756-DFC3-B9EA-BA398D1CB9C0}"/>
            </a:ext>
          </a:extLst>
        </xdr:cNvPr>
        <xdr:cNvSpPr txBox="1"/>
      </xdr:nvSpPr>
      <xdr:spPr>
        <a:xfrm>
          <a:off x="1601930" y="2107044"/>
          <a:ext cx="170295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9EBCF39-0A7D-45DE-8D0B-53B522575999}" type="TxLink">
            <a:rPr lang="en-US" sz="1400" b="1" i="0" u="none" strike="noStrike">
              <a:solidFill>
                <a:srgbClr val="FFC000"/>
              </a:solidFill>
              <a:latin typeface="Aptos Narrow"/>
            </a:rPr>
            <a:pPr/>
            <a:t>12</a:t>
          </a:fld>
          <a:endParaRPr lang="en-IN" sz="1400" b="1">
            <a:solidFill>
              <a:srgbClr val="FFC000"/>
            </a:solidFill>
          </a:endParaRPr>
        </a:p>
      </xdr:txBody>
    </xdr:sp>
    <xdr:clientData/>
  </xdr:oneCellAnchor>
  <xdr:oneCellAnchor>
    <xdr:from>
      <xdr:col>4</xdr:col>
      <xdr:colOff>389660</xdr:colOff>
      <xdr:row>13</xdr:row>
      <xdr:rowOff>129887</xdr:rowOff>
    </xdr:from>
    <xdr:ext cx="366639" cy="311496"/>
    <xdr:sp macro="" textlink="pivot!S15">
      <xdr:nvSpPr>
        <xdr:cNvPr id="52" name="TextBox 51">
          <a:extLst>
            <a:ext uri="{FF2B5EF4-FFF2-40B4-BE49-F238E27FC236}">
              <a16:creationId xmlns:a16="http://schemas.microsoft.com/office/drawing/2014/main" id="{E185D279-80C7-A275-5802-87CFCD844C0D}"/>
            </a:ext>
          </a:extLst>
        </xdr:cNvPr>
        <xdr:cNvSpPr txBox="1"/>
      </xdr:nvSpPr>
      <xdr:spPr>
        <a:xfrm>
          <a:off x="1601933" y="2381251"/>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F822170-EE2D-45B1-A523-B92CF1D0083A}" type="TxLink">
            <a:rPr lang="en-US" sz="1400" b="1" i="0" u="none" strike="noStrike">
              <a:solidFill>
                <a:srgbClr val="FFC000"/>
              </a:solidFill>
              <a:latin typeface="Aptos Narrow"/>
            </a:rPr>
            <a:pPr/>
            <a:t>11</a:t>
          </a:fld>
          <a:endParaRPr lang="en-IN" sz="1400" b="1">
            <a:solidFill>
              <a:srgbClr val="FFC000"/>
            </a:solidFill>
          </a:endParaRPr>
        </a:p>
      </xdr:txBody>
    </xdr:sp>
    <xdr:clientData/>
  </xdr:oneCellAnchor>
  <xdr:oneCellAnchor>
    <xdr:from>
      <xdr:col>4</xdr:col>
      <xdr:colOff>375869</xdr:colOff>
      <xdr:row>15</xdr:row>
      <xdr:rowOff>72163</xdr:rowOff>
    </xdr:from>
    <xdr:ext cx="275653" cy="311496"/>
    <xdr:sp macro="" textlink="pivot!S16">
      <xdr:nvSpPr>
        <xdr:cNvPr id="53" name="TextBox 52">
          <a:extLst>
            <a:ext uri="{FF2B5EF4-FFF2-40B4-BE49-F238E27FC236}">
              <a16:creationId xmlns:a16="http://schemas.microsoft.com/office/drawing/2014/main" id="{4094A265-D386-1796-FC2C-4F3E2A815E9E}"/>
            </a:ext>
          </a:extLst>
        </xdr:cNvPr>
        <xdr:cNvSpPr txBox="1"/>
      </xdr:nvSpPr>
      <xdr:spPr>
        <a:xfrm>
          <a:off x="1589425" y="2823830"/>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A82706A-8835-4653-B62C-95110E05744E}" type="TxLink">
            <a:rPr lang="en-US" sz="1400" b="1" i="0" u="none" strike="noStrike">
              <a:solidFill>
                <a:srgbClr val="FFC000"/>
              </a:solidFill>
              <a:latin typeface="Aptos Narrow"/>
            </a:rPr>
            <a:pPr/>
            <a:t>7</a:t>
          </a:fld>
          <a:endParaRPr lang="en-IN" sz="1400" b="1">
            <a:solidFill>
              <a:srgbClr val="FFC000"/>
            </a:solidFill>
          </a:endParaRPr>
        </a:p>
      </xdr:txBody>
    </xdr:sp>
    <xdr:clientData/>
  </xdr:oneCellAnchor>
  <xdr:oneCellAnchor>
    <xdr:from>
      <xdr:col>4</xdr:col>
      <xdr:colOff>346364</xdr:colOff>
      <xdr:row>16</xdr:row>
      <xdr:rowOff>158750</xdr:rowOff>
    </xdr:from>
    <xdr:ext cx="366639" cy="311496"/>
    <xdr:sp macro="" textlink="pivot!S17">
      <xdr:nvSpPr>
        <xdr:cNvPr id="62" name="TextBox 61">
          <a:extLst>
            <a:ext uri="{FF2B5EF4-FFF2-40B4-BE49-F238E27FC236}">
              <a16:creationId xmlns:a16="http://schemas.microsoft.com/office/drawing/2014/main" id="{B14E72B2-969C-18B5-BF78-F109F606A365}"/>
            </a:ext>
          </a:extLst>
        </xdr:cNvPr>
        <xdr:cNvSpPr txBox="1"/>
      </xdr:nvSpPr>
      <xdr:spPr>
        <a:xfrm>
          <a:off x="1558637" y="2929659"/>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6CC649C-E2C9-4E56-89BB-AB2C64CD2E12}" type="TxLink">
            <a:rPr lang="en-US" sz="1400" b="1" i="0" u="none" strike="noStrike">
              <a:solidFill>
                <a:srgbClr val="FFC000"/>
              </a:solidFill>
              <a:latin typeface="Aptos Narrow"/>
            </a:rPr>
            <a:pPr/>
            <a:t>11</a:t>
          </a:fld>
          <a:endParaRPr lang="en-IN" sz="1400" b="1">
            <a:solidFill>
              <a:srgbClr val="FFC000"/>
            </a:solidFill>
          </a:endParaRPr>
        </a:p>
      </xdr:txBody>
    </xdr:sp>
    <xdr:clientData/>
  </xdr:oneCellAnchor>
  <xdr:oneCellAnchor>
    <xdr:from>
      <xdr:col>4</xdr:col>
      <xdr:colOff>346364</xdr:colOff>
      <xdr:row>18</xdr:row>
      <xdr:rowOff>101023</xdr:rowOff>
    </xdr:from>
    <xdr:ext cx="275653" cy="311496"/>
    <xdr:sp macro="" textlink="pivot!S18">
      <xdr:nvSpPr>
        <xdr:cNvPr id="2049" name="TextBox 2048">
          <a:extLst>
            <a:ext uri="{FF2B5EF4-FFF2-40B4-BE49-F238E27FC236}">
              <a16:creationId xmlns:a16="http://schemas.microsoft.com/office/drawing/2014/main" id="{D37CD3CE-2D59-8B7A-DAB7-44D586DD09D5}"/>
            </a:ext>
          </a:extLst>
        </xdr:cNvPr>
        <xdr:cNvSpPr txBox="1"/>
      </xdr:nvSpPr>
      <xdr:spPr>
        <a:xfrm>
          <a:off x="1558637" y="3218296"/>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1FC9868-8040-4110-8B1D-CCC2DCF93ADC}" type="TxLink">
            <a:rPr lang="en-US" sz="1400" b="1" i="0" u="none" strike="noStrike">
              <a:solidFill>
                <a:srgbClr val="FFC000"/>
              </a:solidFill>
              <a:latin typeface="Aptos Narrow"/>
            </a:rPr>
            <a:pPr/>
            <a:t>9</a:t>
          </a:fld>
          <a:endParaRPr lang="en-IN" sz="1400" b="1">
            <a:solidFill>
              <a:srgbClr val="FFC000"/>
            </a:solidFill>
          </a:endParaRPr>
        </a:p>
      </xdr:txBody>
    </xdr:sp>
    <xdr:clientData/>
  </xdr:oneCellAnchor>
  <xdr:oneCellAnchor>
    <xdr:from>
      <xdr:col>2</xdr:col>
      <xdr:colOff>245341</xdr:colOff>
      <xdr:row>10</xdr:row>
      <xdr:rowOff>72159</xdr:rowOff>
    </xdr:from>
    <xdr:ext cx="1565493" cy="342851"/>
    <xdr:sp macro="" textlink="">
      <xdr:nvSpPr>
        <xdr:cNvPr id="2080" name="TextBox 2079">
          <a:extLst>
            <a:ext uri="{FF2B5EF4-FFF2-40B4-BE49-F238E27FC236}">
              <a16:creationId xmlns:a16="http://schemas.microsoft.com/office/drawing/2014/main" id="{A3EB2BCB-B5E3-4B3C-8AF4-E2423999AF43}"/>
            </a:ext>
          </a:extLst>
        </xdr:cNvPr>
        <xdr:cNvSpPr txBox="1"/>
      </xdr:nvSpPr>
      <xdr:spPr>
        <a:xfrm>
          <a:off x="245341" y="1803977"/>
          <a:ext cx="156549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C000"/>
              </a:solidFill>
            </a:rPr>
            <a:t>Skill BreakDown</a:t>
          </a:r>
        </a:p>
      </xdr:txBody>
    </xdr:sp>
    <xdr:clientData/>
  </xdr:oneCellAnchor>
  <xdr:twoCellAnchor>
    <xdr:from>
      <xdr:col>2</xdr:col>
      <xdr:colOff>143751</xdr:colOff>
      <xdr:row>10</xdr:row>
      <xdr:rowOff>158521</xdr:rowOff>
    </xdr:from>
    <xdr:to>
      <xdr:col>2</xdr:col>
      <xdr:colOff>277435</xdr:colOff>
      <xdr:row>11</xdr:row>
      <xdr:rowOff>113959</xdr:rowOff>
    </xdr:to>
    <xdr:sp macro="" textlink="">
      <xdr:nvSpPr>
        <xdr:cNvPr id="2081" name="Flowchart: Connector 2080">
          <a:extLst>
            <a:ext uri="{FF2B5EF4-FFF2-40B4-BE49-F238E27FC236}">
              <a16:creationId xmlns:a16="http://schemas.microsoft.com/office/drawing/2014/main" id="{255C8323-9A02-42F4-97FC-EC9EB21F1990}"/>
            </a:ext>
          </a:extLst>
        </xdr:cNvPr>
        <xdr:cNvSpPr/>
      </xdr:nvSpPr>
      <xdr:spPr>
        <a:xfrm>
          <a:off x="143751" y="1890339"/>
          <a:ext cx="133684" cy="12862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603068</xdr:colOff>
      <xdr:row>5</xdr:row>
      <xdr:rowOff>97955</xdr:rowOff>
    </xdr:from>
    <xdr:to>
      <xdr:col>4</xdr:col>
      <xdr:colOff>305194</xdr:colOff>
      <xdr:row>10</xdr:row>
      <xdr:rowOff>146446</xdr:rowOff>
    </xdr:to>
    <xdr:pic>
      <xdr:nvPicPr>
        <xdr:cNvPr id="2087" name="Graphic 2086" descr="Lights On with solid fill">
          <a:extLst>
            <a:ext uri="{FF2B5EF4-FFF2-40B4-BE49-F238E27FC236}">
              <a16:creationId xmlns:a16="http://schemas.microsoft.com/office/drawing/2014/main" id="{F7B04375-1D18-DBC1-5178-F692918DA03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3068" y="963864"/>
          <a:ext cx="914400" cy="914400"/>
        </a:xfrm>
        <a:prstGeom prst="rect">
          <a:avLst/>
        </a:prstGeom>
      </xdr:spPr>
    </xdr:pic>
    <xdr:clientData/>
  </xdr:twoCellAnchor>
  <xdr:oneCellAnchor>
    <xdr:from>
      <xdr:col>5</xdr:col>
      <xdr:colOff>461818</xdr:colOff>
      <xdr:row>6</xdr:row>
      <xdr:rowOff>115455</xdr:rowOff>
    </xdr:from>
    <xdr:ext cx="1749133" cy="342851"/>
    <xdr:sp macro="" textlink="">
      <xdr:nvSpPr>
        <xdr:cNvPr id="2090" name="TextBox 2089">
          <a:extLst>
            <a:ext uri="{FF2B5EF4-FFF2-40B4-BE49-F238E27FC236}">
              <a16:creationId xmlns:a16="http://schemas.microsoft.com/office/drawing/2014/main" id="{5D03ABE2-12D1-6C67-46C3-7FB6BAB68B2D}"/>
            </a:ext>
          </a:extLst>
        </xdr:cNvPr>
        <xdr:cNvSpPr txBox="1"/>
      </xdr:nvSpPr>
      <xdr:spPr>
        <a:xfrm>
          <a:off x="2280227" y="1154546"/>
          <a:ext cx="174913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rgbClr val="FFC000"/>
              </a:solidFill>
            </a:rPr>
            <a:t>Employee Number</a:t>
          </a:r>
        </a:p>
      </xdr:txBody>
    </xdr:sp>
    <xdr:clientData/>
  </xdr:oneCellAnchor>
  <xdr:twoCellAnchor>
    <xdr:from>
      <xdr:col>5</xdr:col>
      <xdr:colOff>339442</xdr:colOff>
      <xdr:row>7</xdr:row>
      <xdr:rowOff>36714</xdr:rowOff>
    </xdr:from>
    <xdr:to>
      <xdr:col>5</xdr:col>
      <xdr:colOff>473126</xdr:colOff>
      <xdr:row>7</xdr:row>
      <xdr:rowOff>165334</xdr:rowOff>
    </xdr:to>
    <xdr:sp macro="" textlink="">
      <xdr:nvSpPr>
        <xdr:cNvPr id="2091" name="Flowchart: Connector 2090">
          <a:extLst>
            <a:ext uri="{FF2B5EF4-FFF2-40B4-BE49-F238E27FC236}">
              <a16:creationId xmlns:a16="http://schemas.microsoft.com/office/drawing/2014/main" id="{E91959B0-6F37-46E2-B918-440478B3F6D4}"/>
            </a:ext>
          </a:extLst>
        </xdr:cNvPr>
        <xdr:cNvSpPr/>
      </xdr:nvSpPr>
      <xdr:spPr>
        <a:xfrm>
          <a:off x="2157851" y="1248987"/>
          <a:ext cx="133684" cy="128620"/>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539660</xdr:colOff>
      <xdr:row>14</xdr:row>
      <xdr:rowOff>150000</xdr:rowOff>
    </xdr:from>
    <xdr:to>
      <xdr:col>10</xdr:col>
      <xdr:colOff>241788</xdr:colOff>
      <xdr:row>20</xdr:row>
      <xdr:rowOff>25309</xdr:rowOff>
    </xdr:to>
    <xdr:pic>
      <xdr:nvPicPr>
        <xdr:cNvPr id="2095" name="Graphic 2094" descr="Female Profile with solid fill">
          <a:extLst>
            <a:ext uri="{FF2B5EF4-FFF2-40B4-BE49-F238E27FC236}">
              <a16:creationId xmlns:a16="http://schemas.microsoft.com/office/drawing/2014/main" id="{109877E8-1CF0-CF83-0414-E002601F80A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76478" y="2574545"/>
          <a:ext cx="914400" cy="914400"/>
        </a:xfrm>
        <a:prstGeom prst="rect">
          <a:avLst/>
        </a:prstGeom>
      </xdr:spPr>
    </xdr:pic>
    <xdr:clientData/>
  </xdr:twoCellAnchor>
  <xdr:twoCellAnchor editAs="oneCell">
    <xdr:from>
      <xdr:col>6</xdr:col>
      <xdr:colOff>227841</xdr:colOff>
      <xdr:row>14</xdr:row>
      <xdr:rowOff>141250</xdr:rowOff>
    </xdr:from>
    <xdr:to>
      <xdr:col>7</xdr:col>
      <xdr:colOff>536104</xdr:colOff>
      <xdr:row>20</xdr:row>
      <xdr:rowOff>16559</xdr:rowOff>
    </xdr:to>
    <xdr:pic>
      <xdr:nvPicPr>
        <xdr:cNvPr id="2097" name="Graphic 2096" descr="Male profile with solid fill">
          <a:extLst>
            <a:ext uri="{FF2B5EF4-FFF2-40B4-BE49-F238E27FC236}">
              <a16:creationId xmlns:a16="http://schemas.microsoft.com/office/drawing/2014/main" id="{AB921612-9D41-B8E3-7649-75AE389493C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52386" y="2565795"/>
          <a:ext cx="914400" cy="914400"/>
        </a:xfrm>
        <a:prstGeom prst="rect">
          <a:avLst/>
        </a:prstGeom>
      </xdr:spPr>
    </xdr:pic>
    <xdr:clientData/>
  </xdr:twoCellAnchor>
  <xdr:twoCellAnchor editAs="oneCell">
    <xdr:from>
      <xdr:col>8</xdr:col>
      <xdr:colOff>72159</xdr:colOff>
      <xdr:row>7</xdr:row>
      <xdr:rowOff>86591</xdr:rowOff>
    </xdr:from>
    <xdr:to>
      <xdr:col>9</xdr:col>
      <xdr:colOff>562840</xdr:colOff>
      <xdr:row>12</xdr:row>
      <xdr:rowOff>135082</xdr:rowOff>
    </xdr:to>
    <xdr:pic>
      <xdr:nvPicPr>
        <xdr:cNvPr id="2099" name="Graphic 2098" descr="Children outline">
          <a:extLst>
            <a:ext uri="{FF2B5EF4-FFF2-40B4-BE49-F238E27FC236}">
              <a16:creationId xmlns:a16="http://schemas.microsoft.com/office/drawing/2014/main" id="{0ADD1CC4-2A1A-5390-27FE-2E09DF1FB8D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708977" y="1298864"/>
          <a:ext cx="1096818" cy="914400"/>
        </a:xfrm>
        <a:prstGeom prst="rect">
          <a:avLst/>
        </a:prstGeom>
      </xdr:spPr>
    </xdr:pic>
    <xdr:clientData/>
  </xdr:twoCellAnchor>
  <xdr:oneCellAnchor>
    <xdr:from>
      <xdr:col>5</xdr:col>
      <xdr:colOff>447386</xdr:colOff>
      <xdr:row>7</xdr:row>
      <xdr:rowOff>173180</xdr:rowOff>
    </xdr:from>
    <xdr:ext cx="649432" cy="655949"/>
    <xdr:sp macro="" textlink="pivot!I23">
      <xdr:nvSpPr>
        <xdr:cNvPr id="2104" name="TextBox 2103">
          <a:extLst>
            <a:ext uri="{FF2B5EF4-FFF2-40B4-BE49-F238E27FC236}">
              <a16:creationId xmlns:a16="http://schemas.microsoft.com/office/drawing/2014/main" id="{39924294-B939-266F-2045-6F3DBD2C8FB8}"/>
            </a:ext>
          </a:extLst>
        </xdr:cNvPr>
        <xdr:cNvSpPr txBox="1"/>
      </xdr:nvSpPr>
      <xdr:spPr>
        <a:xfrm>
          <a:off x="2265795" y="1385453"/>
          <a:ext cx="649432"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4DE1C4D-DA44-4C3B-A014-5889C007E3F9}" type="TxLink">
            <a:rPr lang="en-US" sz="3600" b="1" i="0" u="none" strike="noStrike">
              <a:solidFill>
                <a:schemeClr val="bg1"/>
              </a:solidFill>
              <a:latin typeface="Aptos Narrow"/>
            </a:rPr>
            <a:pPr/>
            <a:t>50</a:t>
          </a:fld>
          <a:endParaRPr lang="en-IN" sz="3600" b="1">
            <a:solidFill>
              <a:schemeClr val="bg1"/>
            </a:solidFill>
          </a:endParaRPr>
        </a:p>
      </xdr:txBody>
    </xdr:sp>
    <xdr:clientData/>
  </xdr:oneCellAnchor>
  <xdr:oneCellAnchor>
    <xdr:from>
      <xdr:col>5</xdr:col>
      <xdr:colOff>331932</xdr:colOff>
      <xdr:row>10</xdr:row>
      <xdr:rowOff>144318</xdr:rowOff>
    </xdr:from>
    <xdr:ext cx="1404231" cy="311496"/>
    <xdr:sp macro="" textlink="">
      <xdr:nvSpPr>
        <xdr:cNvPr id="2105" name="TextBox 2104">
          <a:extLst>
            <a:ext uri="{FF2B5EF4-FFF2-40B4-BE49-F238E27FC236}">
              <a16:creationId xmlns:a16="http://schemas.microsoft.com/office/drawing/2014/main" id="{37042769-4C6C-21FB-4D6E-87CE046CA499}"/>
            </a:ext>
          </a:extLst>
        </xdr:cNvPr>
        <xdr:cNvSpPr txBox="1"/>
      </xdr:nvSpPr>
      <xdr:spPr>
        <a:xfrm>
          <a:off x="2150341" y="1876136"/>
          <a:ext cx="14042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Total Employees</a:t>
          </a:r>
        </a:p>
      </xdr:txBody>
    </xdr:sp>
    <xdr:clientData/>
  </xdr:oneCellAnchor>
  <xdr:oneCellAnchor>
    <xdr:from>
      <xdr:col>5</xdr:col>
      <xdr:colOff>346364</xdr:colOff>
      <xdr:row>13</xdr:row>
      <xdr:rowOff>72159</xdr:rowOff>
    </xdr:from>
    <xdr:ext cx="754822" cy="374077"/>
    <xdr:sp macro="" textlink="">
      <xdr:nvSpPr>
        <xdr:cNvPr id="2106" name="TextBox 2105">
          <a:extLst>
            <a:ext uri="{FF2B5EF4-FFF2-40B4-BE49-F238E27FC236}">
              <a16:creationId xmlns:a16="http://schemas.microsoft.com/office/drawing/2014/main" id="{2F997C26-6148-4D83-E916-2D9FE2EC6579}"/>
            </a:ext>
          </a:extLst>
        </xdr:cNvPr>
        <xdr:cNvSpPr txBox="1"/>
      </xdr:nvSpPr>
      <xdr:spPr>
        <a:xfrm>
          <a:off x="2164773" y="2323523"/>
          <a:ext cx="75482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C000"/>
              </a:solidFill>
            </a:rPr>
            <a:t>Males</a:t>
          </a:r>
        </a:p>
      </xdr:txBody>
    </xdr:sp>
    <xdr:clientData/>
  </xdr:oneCellAnchor>
  <xdr:oneCellAnchor>
    <xdr:from>
      <xdr:col>8</xdr:col>
      <xdr:colOff>14432</xdr:colOff>
      <xdr:row>13</xdr:row>
      <xdr:rowOff>86591</xdr:rowOff>
    </xdr:from>
    <xdr:ext cx="998991" cy="374077"/>
    <xdr:sp macro="" textlink="">
      <xdr:nvSpPr>
        <xdr:cNvPr id="2107" name="TextBox 2106">
          <a:extLst>
            <a:ext uri="{FF2B5EF4-FFF2-40B4-BE49-F238E27FC236}">
              <a16:creationId xmlns:a16="http://schemas.microsoft.com/office/drawing/2014/main" id="{83F63198-60A0-C9EA-6042-C843B47B9CAC}"/>
            </a:ext>
          </a:extLst>
        </xdr:cNvPr>
        <xdr:cNvSpPr txBox="1"/>
      </xdr:nvSpPr>
      <xdr:spPr>
        <a:xfrm>
          <a:off x="3651250" y="2337955"/>
          <a:ext cx="99899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C000"/>
              </a:solidFill>
            </a:rPr>
            <a:t>Females</a:t>
          </a:r>
        </a:p>
      </xdr:txBody>
    </xdr:sp>
    <xdr:clientData/>
  </xdr:oneCellAnchor>
  <xdr:oneCellAnchor>
    <xdr:from>
      <xdr:col>5</xdr:col>
      <xdr:colOff>317500</xdr:colOff>
      <xdr:row>16</xdr:row>
      <xdr:rowOff>28863</xdr:rowOff>
    </xdr:from>
    <xdr:ext cx="600677" cy="593239"/>
    <xdr:sp macro="" textlink="pivot!I21">
      <xdr:nvSpPr>
        <xdr:cNvPr id="2108" name="TextBox 2107">
          <a:extLst>
            <a:ext uri="{FF2B5EF4-FFF2-40B4-BE49-F238E27FC236}">
              <a16:creationId xmlns:a16="http://schemas.microsoft.com/office/drawing/2014/main" id="{77DC5D38-0615-59EB-E3C7-E2ABC82C6696}"/>
            </a:ext>
          </a:extLst>
        </xdr:cNvPr>
        <xdr:cNvSpPr txBox="1"/>
      </xdr:nvSpPr>
      <xdr:spPr>
        <a:xfrm>
          <a:off x="2135909" y="2799772"/>
          <a:ext cx="60067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C4B4036-9B4D-4302-BB8E-8BEAB4F5CF51}" type="TxLink">
            <a:rPr lang="en-US" sz="3200" b="1" i="0" u="none" strike="noStrike">
              <a:solidFill>
                <a:schemeClr val="bg1"/>
              </a:solidFill>
              <a:latin typeface="Aptos Narrow"/>
            </a:rPr>
            <a:pPr/>
            <a:t>24</a:t>
          </a:fld>
          <a:endParaRPr lang="en-IN" sz="3200" b="1">
            <a:solidFill>
              <a:schemeClr val="bg1"/>
            </a:solidFill>
          </a:endParaRPr>
        </a:p>
      </xdr:txBody>
    </xdr:sp>
    <xdr:clientData/>
  </xdr:oneCellAnchor>
  <xdr:oneCellAnchor>
    <xdr:from>
      <xdr:col>7</xdr:col>
      <xdr:colOff>577272</xdr:colOff>
      <xdr:row>16</xdr:row>
      <xdr:rowOff>57728</xdr:rowOff>
    </xdr:from>
    <xdr:ext cx="652615" cy="655949"/>
    <xdr:sp macro="" textlink="pivot!I22">
      <xdr:nvSpPr>
        <xdr:cNvPr id="2109" name="TextBox 2108">
          <a:extLst>
            <a:ext uri="{FF2B5EF4-FFF2-40B4-BE49-F238E27FC236}">
              <a16:creationId xmlns:a16="http://schemas.microsoft.com/office/drawing/2014/main" id="{24BD4D2C-5660-083B-006F-060FFFA58401}"/>
            </a:ext>
          </a:extLst>
        </xdr:cNvPr>
        <xdr:cNvSpPr txBox="1"/>
      </xdr:nvSpPr>
      <xdr:spPr>
        <a:xfrm>
          <a:off x="3607954" y="2828637"/>
          <a:ext cx="652615"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587E003-663C-469B-923E-AF12F6E8A602}" type="TxLink">
            <a:rPr lang="en-US" sz="3600" b="1" i="0" u="none" strike="noStrike">
              <a:solidFill>
                <a:schemeClr val="bg1"/>
              </a:solidFill>
              <a:latin typeface="Aptos Narrow"/>
            </a:rPr>
            <a:pPr/>
            <a:t>26</a:t>
          </a:fld>
          <a:endParaRPr lang="en-IN" sz="3600" b="1">
            <a:solidFill>
              <a:schemeClr val="bg1"/>
            </a:solidFill>
          </a:endParaRPr>
        </a:p>
      </xdr:txBody>
    </xdr:sp>
    <xdr:clientData/>
  </xdr:oneCellAnchor>
  <xdr:twoCellAnchor>
    <xdr:from>
      <xdr:col>10</xdr:col>
      <xdr:colOff>357909</xdr:colOff>
      <xdr:row>8</xdr:row>
      <xdr:rowOff>144318</xdr:rowOff>
    </xdr:from>
    <xdr:to>
      <xdr:col>15</xdr:col>
      <xdr:colOff>14433</xdr:colOff>
      <xdr:row>17</xdr:row>
      <xdr:rowOff>86591</xdr:rowOff>
    </xdr:to>
    <xdr:graphicFrame macro="">
      <xdr:nvGraphicFramePr>
        <xdr:cNvPr id="2110" name="Chart 2109">
          <a:extLst>
            <a:ext uri="{FF2B5EF4-FFF2-40B4-BE49-F238E27FC236}">
              <a16:creationId xmlns:a16="http://schemas.microsoft.com/office/drawing/2014/main" id="{326DE899-CFEE-47EC-8F90-4F305669B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491606</xdr:colOff>
      <xdr:row>18</xdr:row>
      <xdr:rowOff>154947</xdr:rowOff>
    </xdr:from>
    <xdr:to>
      <xdr:col>13</xdr:col>
      <xdr:colOff>19154</xdr:colOff>
      <xdr:row>19</xdr:row>
      <xdr:rowOff>110385</xdr:rowOff>
    </xdr:to>
    <xdr:sp macro="" textlink="">
      <xdr:nvSpPr>
        <xdr:cNvPr id="2112" name="Flowchart: Connector 2111">
          <a:extLst>
            <a:ext uri="{FF2B5EF4-FFF2-40B4-BE49-F238E27FC236}">
              <a16:creationId xmlns:a16="http://schemas.microsoft.com/office/drawing/2014/main" id="{1DA1B19D-EA06-4EB7-A00F-1DD19E8A1FAE}"/>
            </a:ext>
          </a:extLst>
        </xdr:cNvPr>
        <xdr:cNvSpPr/>
      </xdr:nvSpPr>
      <xdr:spPr>
        <a:xfrm>
          <a:off x="6552970" y="3272220"/>
          <a:ext cx="133684" cy="128620"/>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10</xdr:col>
      <xdr:colOff>441961</xdr:colOff>
      <xdr:row>18</xdr:row>
      <xdr:rowOff>134166</xdr:rowOff>
    </xdr:from>
    <xdr:to>
      <xdr:col>10</xdr:col>
      <xdr:colOff>575645</xdr:colOff>
      <xdr:row>19</xdr:row>
      <xdr:rowOff>89604</xdr:rowOff>
    </xdr:to>
    <xdr:sp macro="" textlink="">
      <xdr:nvSpPr>
        <xdr:cNvPr id="2113" name="Flowchart: Connector 2112">
          <a:extLst>
            <a:ext uri="{FF2B5EF4-FFF2-40B4-BE49-F238E27FC236}">
              <a16:creationId xmlns:a16="http://schemas.microsoft.com/office/drawing/2014/main" id="{AE84CD6A-D2ED-4355-9A9F-048632D44691}"/>
            </a:ext>
          </a:extLst>
        </xdr:cNvPr>
        <xdr:cNvSpPr/>
      </xdr:nvSpPr>
      <xdr:spPr>
        <a:xfrm>
          <a:off x="5291052" y="3251439"/>
          <a:ext cx="133684" cy="128620"/>
        </a:xfrm>
        <a:prstGeom prst="flowChartConnector">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13</xdr:col>
      <xdr:colOff>363452</xdr:colOff>
      <xdr:row>17</xdr:row>
      <xdr:rowOff>98952</xdr:rowOff>
    </xdr:from>
    <xdr:to>
      <xdr:col>13</xdr:col>
      <xdr:colOff>497136</xdr:colOff>
      <xdr:row>18</xdr:row>
      <xdr:rowOff>54390</xdr:rowOff>
    </xdr:to>
    <xdr:sp macro="" textlink="">
      <xdr:nvSpPr>
        <xdr:cNvPr id="2114" name="Flowchart: Connector 2113">
          <a:extLst>
            <a:ext uri="{FF2B5EF4-FFF2-40B4-BE49-F238E27FC236}">
              <a16:creationId xmlns:a16="http://schemas.microsoft.com/office/drawing/2014/main" id="{0F1F532D-BBE3-49A4-BA1C-93B41E31E6B0}"/>
            </a:ext>
          </a:extLst>
        </xdr:cNvPr>
        <xdr:cNvSpPr/>
      </xdr:nvSpPr>
      <xdr:spPr>
        <a:xfrm>
          <a:off x="7030952" y="3043043"/>
          <a:ext cx="133684" cy="128620"/>
        </a:xfrm>
        <a:prstGeom prst="flowChartConnector">
          <a:avLst/>
        </a:prstGeom>
        <a:solidFill>
          <a:srgbClr val="2466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10</xdr:col>
      <xdr:colOff>429260</xdr:colOff>
      <xdr:row>17</xdr:row>
      <xdr:rowOff>49307</xdr:rowOff>
    </xdr:from>
    <xdr:to>
      <xdr:col>10</xdr:col>
      <xdr:colOff>562944</xdr:colOff>
      <xdr:row>18</xdr:row>
      <xdr:rowOff>4745</xdr:rowOff>
    </xdr:to>
    <xdr:sp macro="" textlink="">
      <xdr:nvSpPr>
        <xdr:cNvPr id="2115" name="Flowchart: Connector 2114">
          <a:extLst>
            <a:ext uri="{FF2B5EF4-FFF2-40B4-BE49-F238E27FC236}">
              <a16:creationId xmlns:a16="http://schemas.microsoft.com/office/drawing/2014/main" id="{F4C394AC-9277-4E1F-8B97-79ECC8003E75}"/>
            </a:ext>
          </a:extLst>
        </xdr:cNvPr>
        <xdr:cNvSpPr/>
      </xdr:nvSpPr>
      <xdr:spPr>
        <a:xfrm>
          <a:off x="5278351" y="2993398"/>
          <a:ext cx="133684" cy="128620"/>
        </a:xfrm>
        <a:prstGeom prst="flowChartConnector">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12</xdr:col>
      <xdr:colOff>33251</xdr:colOff>
      <xdr:row>17</xdr:row>
      <xdr:rowOff>71820</xdr:rowOff>
    </xdr:from>
    <xdr:to>
      <xdr:col>12</xdr:col>
      <xdr:colOff>166935</xdr:colOff>
      <xdr:row>18</xdr:row>
      <xdr:rowOff>27258</xdr:rowOff>
    </xdr:to>
    <xdr:sp macro="" textlink="">
      <xdr:nvSpPr>
        <xdr:cNvPr id="2116" name="Flowchart: Connector 2115">
          <a:extLst>
            <a:ext uri="{FF2B5EF4-FFF2-40B4-BE49-F238E27FC236}">
              <a16:creationId xmlns:a16="http://schemas.microsoft.com/office/drawing/2014/main" id="{6307A88C-BF98-469B-81F0-1F73CA60ECB0}"/>
            </a:ext>
          </a:extLst>
        </xdr:cNvPr>
        <xdr:cNvSpPr/>
      </xdr:nvSpPr>
      <xdr:spPr>
        <a:xfrm>
          <a:off x="6094615" y="3015911"/>
          <a:ext cx="133684" cy="128620"/>
        </a:xfrm>
        <a:prstGeom prst="flowChartConnector">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oneCellAnchor>
    <xdr:from>
      <xdr:col>10</xdr:col>
      <xdr:colOff>505113</xdr:colOff>
      <xdr:row>16</xdr:row>
      <xdr:rowOff>129886</xdr:rowOff>
    </xdr:from>
    <xdr:ext cx="797847" cy="311496"/>
    <xdr:sp macro="" textlink="">
      <xdr:nvSpPr>
        <xdr:cNvPr id="2118" name="TextBox 2117">
          <a:extLst>
            <a:ext uri="{FF2B5EF4-FFF2-40B4-BE49-F238E27FC236}">
              <a16:creationId xmlns:a16="http://schemas.microsoft.com/office/drawing/2014/main" id="{142AA1E0-3250-9FCC-042C-B970CFB322BE}"/>
            </a:ext>
          </a:extLst>
        </xdr:cNvPr>
        <xdr:cNvSpPr txBox="1"/>
      </xdr:nvSpPr>
      <xdr:spPr>
        <a:xfrm>
          <a:off x="5354204" y="2900795"/>
          <a:ext cx="7978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Analyst</a:t>
          </a:r>
          <a:r>
            <a:rPr lang="en-IN" sz="1100"/>
            <a:t>T</a:t>
          </a:r>
        </a:p>
      </xdr:txBody>
    </xdr:sp>
    <xdr:clientData/>
  </xdr:oneCellAnchor>
  <xdr:oneCellAnchor>
    <xdr:from>
      <xdr:col>12</xdr:col>
      <xdr:colOff>129886</xdr:colOff>
      <xdr:row>16</xdr:row>
      <xdr:rowOff>158751</xdr:rowOff>
    </xdr:from>
    <xdr:ext cx="888577" cy="311496"/>
    <xdr:sp macro="" textlink="">
      <xdr:nvSpPr>
        <xdr:cNvPr id="2119" name="TextBox 2118">
          <a:extLst>
            <a:ext uri="{FF2B5EF4-FFF2-40B4-BE49-F238E27FC236}">
              <a16:creationId xmlns:a16="http://schemas.microsoft.com/office/drawing/2014/main" id="{05577722-70E7-B8F2-732D-DF3EE63836AB}"/>
            </a:ext>
          </a:extLst>
        </xdr:cNvPr>
        <xdr:cNvSpPr txBox="1"/>
      </xdr:nvSpPr>
      <xdr:spPr>
        <a:xfrm>
          <a:off x="6191250" y="2929660"/>
          <a:ext cx="88857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Designer</a:t>
          </a:r>
          <a:r>
            <a:rPr lang="en-IN" sz="1100"/>
            <a:t>r</a:t>
          </a:r>
        </a:p>
      </xdr:txBody>
    </xdr:sp>
    <xdr:clientData/>
  </xdr:oneCellAnchor>
  <xdr:oneCellAnchor>
    <xdr:from>
      <xdr:col>13</xdr:col>
      <xdr:colOff>447386</xdr:colOff>
      <xdr:row>17</xdr:row>
      <xdr:rowOff>-1</xdr:rowOff>
    </xdr:from>
    <xdr:ext cx="947632" cy="311496"/>
    <xdr:sp macro="" textlink="">
      <xdr:nvSpPr>
        <xdr:cNvPr id="2120" name="TextBox 2119">
          <a:extLst>
            <a:ext uri="{FF2B5EF4-FFF2-40B4-BE49-F238E27FC236}">
              <a16:creationId xmlns:a16="http://schemas.microsoft.com/office/drawing/2014/main" id="{B6B73401-8392-2BFE-62E0-5CC73974558F}"/>
            </a:ext>
          </a:extLst>
        </xdr:cNvPr>
        <xdr:cNvSpPr txBox="1"/>
      </xdr:nvSpPr>
      <xdr:spPr>
        <a:xfrm>
          <a:off x="7114886" y="2944090"/>
          <a:ext cx="9476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Developer</a:t>
          </a:r>
        </a:p>
      </xdr:txBody>
    </xdr:sp>
    <xdr:clientData/>
  </xdr:oneCellAnchor>
  <xdr:oneCellAnchor>
    <xdr:from>
      <xdr:col>10</xdr:col>
      <xdr:colOff>533977</xdr:colOff>
      <xdr:row>18</xdr:row>
      <xdr:rowOff>57728</xdr:rowOff>
    </xdr:from>
    <xdr:ext cx="1365711" cy="311496"/>
    <xdr:sp macro="" textlink="">
      <xdr:nvSpPr>
        <xdr:cNvPr id="2121" name="TextBox 2120">
          <a:extLst>
            <a:ext uri="{FF2B5EF4-FFF2-40B4-BE49-F238E27FC236}">
              <a16:creationId xmlns:a16="http://schemas.microsoft.com/office/drawing/2014/main" id="{52A0D11E-350F-F9F8-027F-717091F7ED1A}"/>
            </a:ext>
          </a:extLst>
        </xdr:cNvPr>
        <xdr:cNvSpPr txBox="1"/>
      </xdr:nvSpPr>
      <xdr:spPr>
        <a:xfrm>
          <a:off x="5383068" y="3175001"/>
          <a:ext cx="136571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HR Specialist</a:t>
          </a:r>
        </a:p>
      </xdr:txBody>
    </xdr:sp>
    <xdr:clientData/>
  </xdr:oneCellAnchor>
  <xdr:oneCellAnchor>
    <xdr:from>
      <xdr:col>12</xdr:col>
      <xdr:colOff>591705</xdr:colOff>
      <xdr:row>18</xdr:row>
      <xdr:rowOff>57726</xdr:rowOff>
    </xdr:from>
    <xdr:ext cx="823880" cy="311496"/>
    <xdr:sp macro="" textlink="">
      <xdr:nvSpPr>
        <xdr:cNvPr id="2122" name="TextBox 2121">
          <a:extLst>
            <a:ext uri="{FF2B5EF4-FFF2-40B4-BE49-F238E27FC236}">
              <a16:creationId xmlns:a16="http://schemas.microsoft.com/office/drawing/2014/main" id="{A1EB769B-A0A5-4462-9FCB-0CCEC5197669}"/>
            </a:ext>
          </a:extLst>
        </xdr:cNvPr>
        <xdr:cNvSpPr txBox="1"/>
      </xdr:nvSpPr>
      <xdr:spPr>
        <a:xfrm>
          <a:off x="6653069" y="3174999"/>
          <a:ext cx="8238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Manager</a:t>
          </a:r>
          <a:endParaRPr lang="en-IN" sz="1100"/>
        </a:p>
      </xdr:txBody>
    </xdr:sp>
    <xdr:clientData/>
  </xdr:oneCellAnchor>
  <xdr:oneCellAnchor>
    <xdr:from>
      <xdr:col>10</xdr:col>
      <xdr:colOff>418523</xdr:colOff>
      <xdr:row>6</xdr:row>
      <xdr:rowOff>72159</xdr:rowOff>
    </xdr:from>
    <xdr:ext cx="1592039" cy="374077"/>
    <xdr:sp macro="" textlink="">
      <xdr:nvSpPr>
        <xdr:cNvPr id="2123" name="TextBox 2122">
          <a:extLst>
            <a:ext uri="{FF2B5EF4-FFF2-40B4-BE49-F238E27FC236}">
              <a16:creationId xmlns:a16="http://schemas.microsoft.com/office/drawing/2014/main" id="{D369478E-DC58-9B5B-DBF4-093908178013}"/>
            </a:ext>
          </a:extLst>
        </xdr:cNvPr>
        <xdr:cNvSpPr txBox="1"/>
      </xdr:nvSpPr>
      <xdr:spPr>
        <a:xfrm>
          <a:off x="5267614" y="1111250"/>
          <a:ext cx="159203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C000"/>
              </a:solidFill>
            </a:rPr>
            <a:t>Leave Tracking</a:t>
          </a:r>
        </a:p>
      </xdr:txBody>
    </xdr:sp>
    <xdr:clientData/>
  </xdr:oneCellAnchor>
  <xdr:twoCellAnchor>
    <xdr:from>
      <xdr:col>10</xdr:col>
      <xdr:colOff>325206</xdr:colOff>
      <xdr:row>7</xdr:row>
      <xdr:rowOff>18610</xdr:rowOff>
    </xdr:from>
    <xdr:to>
      <xdr:col>10</xdr:col>
      <xdr:colOff>458890</xdr:colOff>
      <xdr:row>7</xdr:row>
      <xdr:rowOff>150801</xdr:rowOff>
    </xdr:to>
    <xdr:sp macro="" textlink="">
      <xdr:nvSpPr>
        <xdr:cNvPr id="2124" name="Flowchart: Connector 2123">
          <a:extLst>
            <a:ext uri="{FF2B5EF4-FFF2-40B4-BE49-F238E27FC236}">
              <a16:creationId xmlns:a16="http://schemas.microsoft.com/office/drawing/2014/main" id="{2412CB0D-B363-44CD-A5B2-444C4CAD8C85}"/>
            </a:ext>
          </a:extLst>
        </xdr:cNvPr>
        <xdr:cNvSpPr/>
      </xdr:nvSpPr>
      <xdr:spPr>
        <a:xfrm>
          <a:off x="5195721" y="1255878"/>
          <a:ext cx="133684" cy="13219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360795</xdr:colOff>
      <xdr:row>8</xdr:row>
      <xdr:rowOff>14431</xdr:rowOff>
    </xdr:from>
    <xdr:ext cx="1690206" cy="280205"/>
    <xdr:sp macro="" textlink="">
      <xdr:nvSpPr>
        <xdr:cNvPr id="2125" name="TextBox 2124">
          <a:extLst>
            <a:ext uri="{FF2B5EF4-FFF2-40B4-BE49-F238E27FC236}">
              <a16:creationId xmlns:a16="http://schemas.microsoft.com/office/drawing/2014/main" id="{BCCC0579-6CF7-D675-C00F-6366752D2560}"/>
            </a:ext>
          </a:extLst>
        </xdr:cNvPr>
        <xdr:cNvSpPr txBox="1"/>
      </xdr:nvSpPr>
      <xdr:spPr>
        <a:xfrm>
          <a:off x="5209886" y="1399886"/>
          <a:ext cx="16902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Leave Taken By</a:t>
          </a:r>
          <a:r>
            <a:rPr lang="en-IN" sz="1200" b="1" baseline="0">
              <a:solidFill>
                <a:schemeClr val="bg1"/>
              </a:solidFill>
            </a:rPr>
            <a:t> Job Title</a:t>
          </a:r>
          <a:endParaRPr lang="en-IN" sz="1200" b="1">
            <a:solidFill>
              <a:schemeClr val="bg1"/>
            </a:solidFill>
          </a:endParaRPr>
        </a:p>
      </xdr:txBody>
    </xdr:sp>
    <xdr:clientData/>
  </xdr:oneCellAnchor>
  <xdr:twoCellAnchor>
    <xdr:from>
      <xdr:col>15</xdr:col>
      <xdr:colOff>315889</xdr:colOff>
      <xdr:row>11</xdr:row>
      <xdr:rowOff>97005</xdr:rowOff>
    </xdr:from>
    <xdr:to>
      <xdr:col>19</xdr:col>
      <xdr:colOff>606284</xdr:colOff>
      <xdr:row>18</xdr:row>
      <xdr:rowOff>39278</xdr:rowOff>
    </xdr:to>
    <xdr:graphicFrame macro="">
      <xdr:nvGraphicFramePr>
        <xdr:cNvPr id="2126" name="Chart 2125">
          <a:extLst>
            <a:ext uri="{FF2B5EF4-FFF2-40B4-BE49-F238E27FC236}">
              <a16:creationId xmlns:a16="http://schemas.microsoft.com/office/drawing/2014/main" id="{AFABAD1F-09A5-40E3-AD80-F4611C2E4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15</xdr:col>
      <xdr:colOff>379691</xdr:colOff>
      <xdr:row>9</xdr:row>
      <xdr:rowOff>170206</xdr:rowOff>
    </xdr:from>
    <xdr:ext cx="943976" cy="374077"/>
    <xdr:sp macro="" textlink="">
      <xdr:nvSpPr>
        <xdr:cNvPr id="2127" name="TextBox 2126">
          <a:extLst>
            <a:ext uri="{FF2B5EF4-FFF2-40B4-BE49-F238E27FC236}">
              <a16:creationId xmlns:a16="http://schemas.microsoft.com/office/drawing/2014/main" id="{18A13D43-45D3-21CD-358D-CBFF5C161ACC}"/>
            </a:ext>
          </a:extLst>
        </xdr:cNvPr>
        <xdr:cNvSpPr txBox="1"/>
      </xdr:nvSpPr>
      <xdr:spPr>
        <a:xfrm>
          <a:off x="8294279" y="1760979"/>
          <a:ext cx="94397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C000"/>
              </a:solidFill>
            </a:rPr>
            <a:t>Regions</a:t>
          </a:r>
        </a:p>
      </xdr:txBody>
    </xdr:sp>
    <xdr:clientData/>
  </xdr:oneCellAnchor>
  <xdr:twoCellAnchor>
    <xdr:from>
      <xdr:col>15</xdr:col>
      <xdr:colOff>301134</xdr:colOff>
      <xdr:row>10</xdr:row>
      <xdr:rowOff>117835</xdr:rowOff>
    </xdr:from>
    <xdr:to>
      <xdr:col>15</xdr:col>
      <xdr:colOff>434818</xdr:colOff>
      <xdr:row>11</xdr:row>
      <xdr:rowOff>73274</xdr:rowOff>
    </xdr:to>
    <xdr:sp macro="" textlink="">
      <xdr:nvSpPr>
        <xdr:cNvPr id="2128" name="Flowchart: Connector 2127">
          <a:extLst>
            <a:ext uri="{FF2B5EF4-FFF2-40B4-BE49-F238E27FC236}">
              <a16:creationId xmlns:a16="http://schemas.microsoft.com/office/drawing/2014/main" id="{3E7D2C61-8885-4FD7-B992-1A391870EAB0}"/>
            </a:ext>
          </a:extLst>
        </xdr:cNvPr>
        <xdr:cNvSpPr/>
      </xdr:nvSpPr>
      <xdr:spPr>
        <a:xfrm>
          <a:off x="8215722" y="1885361"/>
          <a:ext cx="133684" cy="13219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373144</xdr:colOff>
      <xdr:row>11</xdr:row>
      <xdr:rowOff>39278</xdr:rowOff>
    </xdr:from>
    <xdr:ext cx="1590179" cy="280205"/>
    <xdr:sp macro="" textlink="">
      <xdr:nvSpPr>
        <xdr:cNvPr id="2129" name="TextBox 2128">
          <a:extLst>
            <a:ext uri="{FF2B5EF4-FFF2-40B4-BE49-F238E27FC236}">
              <a16:creationId xmlns:a16="http://schemas.microsoft.com/office/drawing/2014/main" id="{6CC396E1-F87F-B145-0C10-FD0DF030A05F}"/>
            </a:ext>
          </a:extLst>
        </xdr:cNvPr>
        <xdr:cNvSpPr txBox="1"/>
      </xdr:nvSpPr>
      <xdr:spPr>
        <a:xfrm>
          <a:off x="8287732" y="1983556"/>
          <a:ext cx="159017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Employees</a:t>
          </a:r>
          <a:r>
            <a:rPr lang="en-IN" sz="1200" b="1" baseline="0">
              <a:solidFill>
                <a:schemeClr val="bg1"/>
              </a:solidFill>
            </a:rPr>
            <a:t> Per Region</a:t>
          </a:r>
          <a:endParaRPr lang="en-IN" sz="1200" b="1">
            <a:solidFill>
              <a:schemeClr val="bg1"/>
            </a:solidFill>
          </a:endParaRPr>
        </a:p>
      </xdr:txBody>
    </xdr:sp>
    <xdr:clientData/>
  </xdr:oneCellAnchor>
  <xdr:oneCellAnchor>
    <xdr:from>
      <xdr:col>15</xdr:col>
      <xdr:colOff>294588</xdr:colOff>
      <xdr:row>5</xdr:row>
      <xdr:rowOff>13092</xdr:rowOff>
    </xdr:from>
    <xdr:ext cx="772776" cy="655949"/>
    <xdr:sp macro="" textlink="pivot!Y19">
      <xdr:nvSpPr>
        <xdr:cNvPr id="2130" name="TextBox 2129">
          <a:extLst>
            <a:ext uri="{FF2B5EF4-FFF2-40B4-BE49-F238E27FC236}">
              <a16:creationId xmlns:a16="http://schemas.microsoft.com/office/drawing/2014/main" id="{5F26B708-7B82-CC8A-1685-2793D4B7D2AB}"/>
            </a:ext>
          </a:extLst>
        </xdr:cNvPr>
        <xdr:cNvSpPr txBox="1"/>
      </xdr:nvSpPr>
      <xdr:spPr>
        <a:xfrm>
          <a:off x="8209176" y="896855"/>
          <a:ext cx="772776"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B2E2D0-05B0-4186-AA1C-FF32491ABA58}" type="TxLink">
            <a:rPr lang="en-US" sz="3600" b="1" i="0" u="none" strike="noStrike">
              <a:solidFill>
                <a:schemeClr val="bg1"/>
              </a:solidFill>
              <a:latin typeface="Aptos Narrow"/>
            </a:rPr>
            <a:pPr/>
            <a:t>2.6</a:t>
          </a:fld>
          <a:endParaRPr lang="en-IN" sz="3600" b="1">
            <a:solidFill>
              <a:schemeClr val="bg1"/>
            </a:solidFill>
          </a:endParaRPr>
        </a:p>
      </xdr:txBody>
    </xdr:sp>
    <xdr:clientData/>
  </xdr:oneCellAnchor>
  <xdr:oneCellAnchor>
    <xdr:from>
      <xdr:col>15</xdr:col>
      <xdr:colOff>274948</xdr:colOff>
      <xdr:row>7</xdr:row>
      <xdr:rowOff>144020</xdr:rowOff>
    </xdr:from>
    <xdr:ext cx="1125244" cy="280205"/>
    <xdr:sp macro="" textlink="">
      <xdr:nvSpPr>
        <xdr:cNvPr id="2131" name="TextBox 2130">
          <a:extLst>
            <a:ext uri="{FF2B5EF4-FFF2-40B4-BE49-F238E27FC236}">
              <a16:creationId xmlns:a16="http://schemas.microsoft.com/office/drawing/2014/main" id="{82ADFFEA-275D-8E71-B3BE-6FABB5832B32}"/>
            </a:ext>
          </a:extLst>
        </xdr:cNvPr>
        <xdr:cNvSpPr txBox="1"/>
      </xdr:nvSpPr>
      <xdr:spPr>
        <a:xfrm>
          <a:off x="8189536" y="1381288"/>
          <a:ext cx="11252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Average Rating</a:t>
          </a:r>
        </a:p>
      </xdr:txBody>
    </xdr:sp>
    <xdr:clientData/>
  </xdr:oneCellAnchor>
  <xdr:twoCellAnchor editAs="oneCell">
    <xdr:from>
      <xdr:col>18</xdr:col>
      <xdr:colOff>19073</xdr:colOff>
      <xdr:row>3</xdr:row>
      <xdr:rowOff>98195</xdr:rowOff>
    </xdr:from>
    <xdr:to>
      <xdr:col>19</xdr:col>
      <xdr:colOff>494297</xdr:colOff>
      <xdr:row>9</xdr:row>
      <xdr:rowOff>121719</xdr:rowOff>
    </xdr:to>
    <xdr:pic>
      <xdr:nvPicPr>
        <xdr:cNvPr id="2135" name="Graphic 2134" descr="Bar graph with upward trend with solid fill">
          <a:extLst>
            <a:ext uri="{FF2B5EF4-FFF2-40B4-BE49-F238E27FC236}">
              <a16:creationId xmlns:a16="http://schemas.microsoft.com/office/drawing/2014/main" id="{A3B0A8E0-1F18-43D6-0B28-06DF04D5793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760104" y="628453"/>
          <a:ext cx="1084039" cy="1084039"/>
        </a:xfrm>
        <a:prstGeom prst="rect">
          <a:avLst/>
        </a:prstGeom>
      </xdr:spPr>
    </xdr:pic>
    <xdr:clientData/>
  </xdr:twoCellAnchor>
  <xdr:oneCellAnchor>
    <xdr:from>
      <xdr:col>15</xdr:col>
      <xdr:colOff>320773</xdr:colOff>
      <xdr:row>0</xdr:row>
      <xdr:rowOff>150567</xdr:rowOff>
    </xdr:from>
    <xdr:ext cx="2072940" cy="374077"/>
    <xdr:sp macro="" textlink="">
      <xdr:nvSpPr>
        <xdr:cNvPr id="2136" name="TextBox 2135">
          <a:extLst>
            <a:ext uri="{FF2B5EF4-FFF2-40B4-BE49-F238E27FC236}">
              <a16:creationId xmlns:a16="http://schemas.microsoft.com/office/drawing/2014/main" id="{3BD4B1D1-AE50-E6D3-03D1-87757FA83E09}"/>
            </a:ext>
          </a:extLst>
        </xdr:cNvPr>
        <xdr:cNvSpPr txBox="1"/>
      </xdr:nvSpPr>
      <xdr:spPr>
        <a:xfrm>
          <a:off x="8235361" y="150567"/>
          <a:ext cx="20729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rgbClr val="FFC000"/>
              </a:solidFill>
            </a:rPr>
            <a:t>Performance Rating</a:t>
          </a:r>
        </a:p>
      </xdr:txBody>
    </xdr:sp>
    <xdr:clientData/>
  </xdr:oneCellAnchor>
  <xdr:twoCellAnchor>
    <xdr:from>
      <xdr:col>15</xdr:col>
      <xdr:colOff>270232</xdr:colOff>
      <xdr:row>1</xdr:row>
      <xdr:rowOff>100026</xdr:rowOff>
    </xdr:from>
    <xdr:to>
      <xdr:col>15</xdr:col>
      <xdr:colOff>403916</xdr:colOff>
      <xdr:row>2</xdr:row>
      <xdr:rowOff>55465</xdr:rowOff>
    </xdr:to>
    <xdr:sp macro="" textlink="">
      <xdr:nvSpPr>
        <xdr:cNvPr id="2137" name="Flowchart: Connector 2136">
          <a:extLst>
            <a:ext uri="{FF2B5EF4-FFF2-40B4-BE49-F238E27FC236}">
              <a16:creationId xmlns:a16="http://schemas.microsoft.com/office/drawing/2014/main" id="{786C5C84-EE46-482A-BF51-8C88792FD5A8}"/>
            </a:ext>
          </a:extLst>
        </xdr:cNvPr>
        <xdr:cNvSpPr/>
      </xdr:nvSpPr>
      <xdr:spPr>
        <a:xfrm>
          <a:off x="8184820" y="276779"/>
          <a:ext cx="133684" cy="132191"/>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216031</xdr:colOff>
      <xdr:row>2</xdr:row>
      <xdr:rowOff>65465</xdr:rowOff>
    </xdr:from>
    <xdr:ext cx="1944378" cy="280205"/>
    <xdr:sp macro="" textlink="">
      <xdr:nvSpPr>
        <xdr:cNvPr id="2138" name="TextBox 2137">
          <a:extLst>
            <a:ext uri="{FF2B5EF4-FFF2-40B4-BE49-F238E27FC236}">
              <a16:creationId xmlns:a16="http://schemas.microsoft.com/office/drawing/2014/main" id="{804A4E1F-6D21-5CA2-700B-04475868A9FB}"/>
            </a:ext>
          </a:extLst>
        </xdr:cNvPr>
        <xdr:cNvSpPr txBox="1"/>
      </xdr:nvSpPr>
      <xdr:spPr>
        <a:xfrm>
          <a:off x="8130619" y="418970"/>
          <a:ext cx="19443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Average Performance</a:t>
          </a:r>
          <a:r>
            <a:rPr lang="en-IN" sz="1200" b="1" baseline="0">
              <a:solidFill>
                <a:schemeClr val="bg1"/>
              </a:solidFill>
            </a:rPr>
            <a:t> rating</a:t>
          </a:r>
          <a:endParaRPr lang="en-IN" sz="1200" b="1">
            <a:solidFill>
              <a:schemeClr val="bg1"/>
            </a:solidFill>
          </a:endParaRPr>
        </a:p>
      </xdr:txBody>
    </xdr:sp>
    <xdr:clientData/>
  </xdr:oneCellAnchor>
  <xdr:twoCellAnchor editAs="oneCell">
    <xdr:from>
      <xdr:col>2</xdr:col>
      <xdr:colOff>105833</xdr:colOff>
      <xdr:row>0</xdr:row>
      <xdr:rowOff>0</xdr:rowOff>
    </xdr:from>
    <xdr:to>
      <xdr:col>3</xdr:col>
      <xdr:colOff>546394</xdr:colOff>
      <xdr:row>5</xdr:row>
      <xdr:rowOff>155058</xdr:rowOff>
    </xdr:to>
    <xdr:pic>
      <xdr:nvPicPr>
        <xdr:cNvPr id="2140" name="Graphic 2139" descr="Board Of Directors with solid fill">
          <a:extLst>
            <a:ext uri="{FF2B5EF4-FFF2-40B4-BE49-F238E27FC236}">
              <a16:creationId xmlns:a16="http://schemas.microsoft.com/office/drawing/2014/main" id="{7CC5F22D-F7EF-E7ED-4CB4-DBDF43B7A7D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5833" y="0"/>
          <a:ext cx="1053411" cy="1041105"/>
        </a:xfrm>
        <a:prstGeom prst="rect">
          <a:avLst/>
        </a:prstGeom>
      </xdr:spPr>
    </xdr:pic>
    <xdr:clientData/>
  </xdr:twoCellAnchor>
  <xdr:oneCellAnchor>
    <xdr:from>
      <xdr:col>3</xdr:col>
      <xdr:colOff>549325</xdr:colOff>
      <xdr:row>0</xdr:row>
      <xdr:rowOff>52170</xdr:rowOff>
    </xdr:from>
    <xdr:ext cx="1594556" cy="843693"/>
    <xdr:sp macro="" textlink="">
      <xdr:nvSpPr>
        <xdr:cNvPr id="2141" name="TextBox 2140">
          <a:extLst>
            <a:ext uri="{FF2B5EF4-FFF2-40B4-BE49-F238E27FC236}">
              <a16:creationId xmlns:a16="http://schemas.microsoft.com/office/drawing/2014/main" id="{BB51A4E9-63E7-602E-044E-F96ADB739FF8}"/>
            </a:ext>
          </a:extLst>
        </xdr:cNvPr>
        <xdr:cNvSpPr txBox="1"/>
      </xdr:nvSpPr>
      <xdr:spPr>
        <a:xfrm>
          <a:off x="1161646" y="52170"/>
          <a:ext cx="1594556"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rgbClr val="FFC000"/>
              </a:solidFill>
            </a:rPr>
            <a:t>HR</a:t>
          </a:r>
        </a:p>
        <a:p>
          <a:r>
            <a:rPr lang="en-IN" sz="2400" b="1">
              <a:solidFill>
                <a:srgbClr val="FFC000"/>
              </a:solidFill>
            </a:rPr>
            <a:t>Dashboard</a:t>
          </a:r>
        </a:p>
      </xdr:txBody>
    </xdr:sp>
    <xdr:clientData/>
  </xdr:oneCellAnchor>
  <xdr:oneCellAnchor>
    <xdr:from>
      <xdr:col>3</xdr:col>
      <xdr:colOff>338666</xdr:colOff>
      <xdr:row>4</xdr:row>
      <xdr:rowOff>56444</xdr:rowOff>
    </xdr:from>
    <xdr:ext cx="2819170" cy="280205"/>
    <xdr:sp macro="" textlink="">
      <xdr:nvSpPr>
        <xdr:cNvPr id="2142" name="TextBox 2141">
          <a:extLst>
            <a:ext uri="{FF2B5EF4-FFF2-40B4-BE49-F238E27FC236}">
              <a16:creationId xmlns:a16="http://schemas.microsoft.com/office/drawing/2014/main" id="{00C2FFF5-976F-A103-9751-557A7A8A0B38}"/>
            </a:ext>
          </a:extLst>
        </xdr:cNvPr>
        <xdr:cNvSpPr txBox="1"/>
      </xdr:nvSpPr>
      <xdr:spPr>
        <a:xfrm>
          <a:off x="945444" y="790222"/>
          <a:ext cx="281917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 Analyze</a:t>
          </a:r>
          <a:r>
            <a:rPr lang="en-IN" sz="1200" b="1" baseline="0">
              <a:solidFill>
                <a:schemeClr val="bg1"/>
              </a:solidFill>
            </a:rPr>
            <a:t>  and monitor the HR department</a:t>
          </a:r>
          <a:endParaRPr lang="en-IN" sz="1200" b="1">
            <a:solidFill>
              <a:schemeClr val="bg1"/>
            </a:solidFill>
          </a:endParaRPr>
        </a:p>
      </xdr:txBody>
    </xdr:sp>
    <xdr:clientData/>
  </xdr:oneCellAnchor>
  <xdr:twoCellAnchor editAs="oneCell">
    <xdr:from>
      <xdr:col>10</xdr:col>
      <xdr:colOff>141112</xdr:colOff>
      <xdr:row>0</xdr:row>
      <xdr:rowOff>0</xdr:rowOff>
    </xdr:from>
    <xdr:to>
      <xdr:col>15</xdr:col>
      <xdr:colOff>268111</xdr:colOff>
      <xdr:row>5</xdr:row>
      <xdr:rowOff>70556</xdr:rowOff>
    </xdr:to>
    <mc:AlternateContent xmlns:mc="http://schemas.openxmlformats.org/markup-compatibility/2006" xmlns:a14="http://schemas.microsoft.com/office/drawing/2010/main">
      <mc:Choice Requires="a14">
        <xdr:graphicFrame macro="">
          <xdr:nvGraphicFramePr>
            <xdr:cNvPr id="2143" name="Department">
              <a:extLst>
                <a:ext uri="{FF2B5EF4-FFF2-40B4-BE49-F238E27FC236}">
                  <a16:creationId xmlns:a16="http://schemas.microsoft.com/office/drawing/2014/main" id="{7B001BD2-16EC-44C1-9DC9-2C5E14D1853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39683" y="0"/>
              <a:ext cx="3188607" cy="97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366888</xdr:colOff>
      <xdr:row>0</xdr:row>
      <xdr:rowOff>112889</xdr:rowOff>
    </xdr:from>
    <xdr:to>
      <xdr:col>10</xdr:col>
      <xdr:colOff>127000</xdr:colOff>
      <xdr:row>3</xdr:row>
      <xdr:rowOff>155223</xdr:rowOff>
    </xdr:to>
    <mc:AlternateContent xmlns:mc="http://schemas.openxmlformats.org/markup-compatibility/2006" xmlns:a14="http://schemas.microsoft.com/office/drawing/2010/main">
      <mc:Choice Requires="a14">
        <xdr:graphicFrame macro="">
          <xdr:nvGraphicFramePr>
            <xdr:cNvPr id="2144" name="Gender">
              <a:extLst>
                <a:ext uri="{FF2B5EF4-FFF2-40B4-BE49-F238E27FC236}">
                  <a16:creationId xmlns:a16="http://schemas.microsoft.com/office/drawing/2014/main" id="{90D9A082-FB90-4B69-BCC0-67F60239AD4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28495" y="112889"/>
              <a:ext cx="1597076" cy="586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ina P.P" refreshedDate="45764.445756134257" createdVersion="8" refreshedVersion="8" minRefreshableVersion="3" recordCount="50" xr:uid="{B58793CB-6DB1-4809-8E63-6B69530DD112}">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505065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8A8E7-8075-4938-9D6C-2433D59DB156}"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4:F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45FF9C-0B8B-447A-ADCD-7763F45115D5}"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X4:Y10" firstHeaderRow="1"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23">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DC9A91-10B8-4A0C-B91E-0FB52DD74BD4}"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B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77A779-D3CD-4786-BC3B-DBA9FD26E7A2}"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U4:V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8005D-9075-4FD5-9048-E956643A8653}"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M5:N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CA0E31-B2F0-4A8E-AB81-8653936620D7}"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R4:S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2750EF-CA7F-4039-AFBA-5E2B8C504ECE}"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H4:K11" firstHeaderRow="1" firstDataRow="2" firstDataCol="1"/>
  <pivotFields count="21">
    <pivotField showAll="0"/>
    <pivotField showAll="0"/>
    <pivotField axis="axisCol" showAll="0">
      <items count="3">
        <item x="0"/>
        <item x="1"/>
        <item t="default"/>
      </items>
    </pivotField>
    <pivotField showAll="0"/>
    <pivotField axis="axisRow" dataField="1"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Age range" fld="4"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13C735-44ED-4906-9F91-DB68AF45FF90}" sourceName="Department">
  <pivotTables>
    <pivotTable tabId="3" name="PivotTable2"/>
    <pivotTable tabId="3" name="PivotTable1"/>
    <pivotTable tabId="3" name="PivotTable11"/>
    <pivotTable tabId="3" name="PivotTable12"/>
    <pivotTable tabId="3" name="PivotTable3"/>
    <pivotTable tabId="3" name="PivotTable5"/>
    <pivotTable tabId="3" name="PivotTable6"/>
  </pivotTables>
  <data>
    <tabular pivotCacheId="1505065419">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CAFCBC-38B3-40DE-96FC-6B054EFDC4CD}" sourceName="Gender">
  <pivotTables>
    <pivotTable tabId="3" name="PivotTable2"/>
    <pivotTable tabId="3" name="PivotTable1"/>
    <pivotTable tabId="3" name="PivotTable11"/>
    <pivotTable tabId="3" name="PivotTable12"/>
    <pivotTable tabId="3" name="PivotTable3"/>
    <pivotTable tabId="3" name="PivotTable5"/>
    <pivotTable tabId="3" name="PivotTable6"/>
  </pivotTables>
  <data>
    <tabular pivotCacheId="15050654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714CF26-54DF-43F2-9678-123F4E6062CE}" cache="Slicer_Department" caption="Department" columnCount="3" style="Slicer Style 3" rowHeight="251883"/>
  <slicer name="Gender" xr10:uid="{B38A29DF-9FFF-4AAE-B7B4-10901D905BFE}" cache="Slicer_Gender" caption="Gender" columnCount="2" style="Slicer Style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2" dataDxfId="21">
  <autoFilter ref="A1:U51" xr:uid="{BD7F130C-4931-4EC9-8AE2-A64F6556D3A3}"/>
  <tableColumns count="21">
    <tableColumn id="1" xr3:uid="{6BDBB43D-1DF4-4FF3-9C56-0E3D699A83FC}" name="Employee ID" dataDxfId="20"/>
    <tableColumn id="2" xr3:uid="{363D91B7-21AD-4B4B-86DE-95D24769EAA5}" name="Full Name" dataDxfId="19"/>
    <tableColumn id="3" xr3:uid="{728245EC-9766-45F5-9851-7FEFEFBE2652}" name="Gender" dataDxfId="18"/>
    <tableColumn id="4" xr3:uid="{DD8A90D1-163F-4B0E-A039-9E7A16AFC106}" name="Age" dataDxfId="17"/>
    <tableColumn id="5" xr3:uid="{0672993B-A00D-49AE-84B7-674089468A17}" name="Age range" dataDxfId="16"/>
    <tableColumn id="6" xr3:uid="{B1ADEE80-60F1-4EE3-B3FB-8484EE6C17B3}" name="Region" dataDxfId="15"/>
    <tableColumn id="7" xr3:uid="{8E0A56EE-3456-4513-ADA0-27F6CAA8C17B}" name="Job Title" dataDxfId="14"/>
    <tableColumn id="8" xr3:uid="{0D9D5DB9-01CB-4300-B0CD-256901621ADC}" name="Department" dataDxfId="13"/>
    <tableColumn id="9" xr3:uid="{9EBDAC3F-6A39-4A78-B562-848691EE3AD1}" name="Manager/Supervisor" dataDxfId="12"/>
    <tableColumn id="10" xr3:uid="{AF849F24-150A-4123-B3F8-A46B4D4F7BC6}" name="Date of Hire" dataDxfId="11"/>
    <tableColumn id="11" xr3:uid="{8C57202E-334A-462A-9C44-E5E2468122E4}" name="Employment Status" dataDxfId="10"/>
    <tableColumn id="12" xr3:uid="{8A07812C-245C-4D55-A210-3AE7E0BB84EB}" name="Work Location" dataDxfId="9"/>
    <tableColumn id="13" xr3:uid="{6441036C-01DD-4130-8E4B-DBA441BCB744}" name="Salary" dataDxfId="8"/>
    <tableColumn id="14" xr3:uid="{ADCF531A-A98E-422C-939D-04D58C2423FB}" name="Pay Grade" dataDxfId="7"/>
    <tableColumn id="15" xr3:uid="{DE922695-AE31-4F31-8F89-61E6E7E646AB}" name="Bonus/Allowances" dataDxfId="6"/>
    <tableColumn id="16" xr3:uid="{62F2B816-9954-4A01-AEDC-4C13B3A2A52F}" name="Insurance Details" dataDxfId="5"/>
    <tableColumn id="17" xr3:uid="{6EFEC335-9B75-45D5-B403-A8A9E557BE24}" name="Leave Taken" dataDxfId="4"/>
    <tableColumn id="18" xr3:uid="{9DA1B78E-154E-42E4-A1BC-FE1CF363DCBA}" name="Performance Rating" dataDxfId="3"/>
    <tableColumn id="19" xr3:uid="{7E4B5E79-5639-4E3A-91A1-D1D8767BB705}" name="Training Programs Attended" dataDxfId="2"/>
    <tableColumn id="20" xr3:uid="{2E731344-8C6D-4001-9E36-F16B80500F61}" name="Skills" dataDxfId="1"/>
    <tableColumn id="21" xr3:uid="{9DCE550B-F788-4423-B330-CAB70C041DFC}" name="Certifica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C4E3-86B9-4C6B-B583-D78A7DE64058}">
  <dimension ref="A2:Y23"/>
  <sheetViews>
    <sheetView zoomScale="132" workbookViewId="0">
      <selection activeCell="D7" sqref="D7:F7"/>
      <pivotSelection pane="bottomRight" showHeader="1" extendable="1" start="2" max="6" activeRow="6" activeCol="3" click="1" r:id="rId1">
        <pivotArea dataOnly="0" fieldPosition="0">
          <references count="1">
            <reference field="6" count="1">
              <x v="2"/>
            </reference>
          </references>
        </pivotArea>
      </pivotSelection>
    </sheetView>
  </sheetViews>
  <sheetFormatPr defaultRowHeight="14.4"/>
  <cols>
    <col min="1" max="1" width="12.44140625" bestFit="1" customWidth="1"/>
    <col min="2" max="2" width="16.77734375" bestFit="1" customWidth="1"/>
    <col min="4" max="4" width="12.44140625" bestFit="1" customWidth="1"/>
    <col min="5" max="5" width="12.21875" bestFit="1" customWidth="1"/>
    <col min="6" max="6" width="17.33203125" bestFit="1" customWidth="1"/>
    <col min="8" max="8" width="16.33203125" bestFit="1" customWidth="1"/>
    <col min="9" max="9" width="15.6640625" bestFit="1" customWidth="1"/>
    <col min="10" max="10" width="4.77734375" bestFit="1" customWidth="1"/>
    <col min="11" max="11" width="10.33203125" bestFit="1" customWidth="1"/>
    <col min="13" max="13" width="12.44140625" bestFit="1" customWidth="1"/>
    <col min="14" max="14" width="16.77734375" bestFit="1" customWidth="1"/>
    <col min="18" max="18" width="13.88671875" bestFit="1" customWidth="1"/>
    <col min="19" max="19" width="16.77734375" bestFit="1" customWidth="1"/>
    <col min="21" max="21" width="12.44140625" bestFit="1" customWidth="1"/>
    <col min="22" max="22" width="16.77734375" bestFit="1" customWidth="1"/>
    <col min="24" max="24" width="12.44140625" bestFit="1" customWidth="1"/>
    <col min="25" max="25" width="26.5546875" bestFit="1" customWidth="1"/>
  </cols>
  <sheetData>
    <row r="2" spans="1:25">
      <c r="A2" s="13" t="s">
        <v>217</v>
      </c>
      <c r="B2" s="13"/>
      <c r="D2" s="13" t="s">
        <v>220</v>
      </c>
      <c r="E2" s="13"/>
      <c r="F2" s="8"/>
      <c r="H2" s="13" t="s">
        <v>223</v>
      </c>
      <c r="I2" s="13"/>
      <c r="J2" s="13"/>
      <c r="K2" s="13"/>
      <c r="M2" s="13" t="s">
        <v>226</v>
      </c>
      <c r="N2" s="13"/>
      <c r="R2" s="13" t="s">
        <v>227</v>
      </c>
      <c r="S2" s="13"/>
      <c r="U2" s="13" t="s">
        <v>5</v>
      </c>
      <c r="V2" s="13"/>
      <c r="X2" s="13" t="s">
        <v>7</v>
      </c>
      <c r="Y2" s="13"/>
    </row>
    <row r="4" spans="1:25">
      <c r="A4" s="6" t="s">
        <v>214</v>
      </c>
      <c r="B4" t="s">
        <v>216</v>
      </c>
      <c r="D4" s="6" t="s">
        <v>214</v>
      </c>
      <c r="E4" t="s">
        <v>219</v>
      </c>
      <c r="F4" t="s">
        <v>228</v>
      </c>
      <c r="H4" s="6" t="s">
        <v>222</v>
      </c>
      <c r="I4" s="6" t="s">
        <v>221</v>
      </c>
      <c r="R4" s="6" t="s">
        <v>214</v>
      </c>
      <c r="S4" t="s">
        <v>216</v>
      </c>
      <c r="U4" s="6" t="s">
        <v>214</v>
      </c>
      <c r="V4" t="s">
        <v>216</v>
      </c>
      <c r="X4" s="6" t="s">
        <v>214</v>
      </c>
      <c r="Y4" t="s">
        <v>229</v>
      </c>
    </row>
    <row r="5" spans="1:25">
      <c r="A5" s="7" t="s">
        <v>63</v>
      </c>
      <c r="B5">
        <v>17</v>
      </c>
      <c r="D5" s="7" t="s">
        <v>121</v>
      </c>
      <c r="E5">
        <v>167041</v>
      </c>
      <c r="F5">
        <v>28</v>
      </c>
      <c r="H5" s="6" t="s">
        <v>214</v>
      </c>
      <c r="I5" t="s">
        <v>22</v>
      </c>
      <c r="J5" t="s">
        <v>37</v>
      </c>
      <c r="K5" t="s">
        <v>215</v>
      </c>
      <c r="M5" s="6" t="s">
        <v>214</v>
      </c>
      <c r="N5" t="s">
        <v>216</v>
      </c>
      <c r="R5" s="7" t="s">
        <v>75</v>
      </c>
      <c r="S5">
        <v>12</v>
      </c>
      <c r="U5" s="7" t="s">
        <v>39</v>
      </c>
      <c r="V5">
        <v>14</v>
      </c>
      <c r="X5" s="7" t="s">
        <v>26</v>
      </c>
      <c r="Y5" s="11">
        <v>2.5833333333333335</v>
      </c>
    </row>
    <row r="6" spans="1:25">
      <c r="A6" s="7" t="s">
        <v>29</v>
      </c>
      <c r="B6">
        <v>20</v>
      </c>
      <c r="D6" s="7" t="s">
        <v>40</v>
      </c>
      <c r="E6">
        <v>613842</v>
      </c>
      <c r="F6">
        <v>110</v>
      </c>
      <c r="H6" s="7" t="s">
        <v>23</v>
      </c>
      <c r="I6">
        <v>6</v>
      </c>
      <c r="J6">
        <v>3</v>
      </c>
      <c r="K6">
        <v>9</v>
      </c>
      <c r="M6" s="7" t="s">
        <v>44</v>
      </c>
      <c r="N6">
        <v>23</v>
      </c>
      <c r="R6" s="7" t="s">
        <v>34</v>
      </c>
      <c r="S6">
        <v>11</v>
      </c>
      <c r="U6" s="7" t="s">
        <v>24</v>
      </c>
      <c r="V6">
        <v>10</v>
      </c>
      <c r="X6" s="7" t="s">
        <v>41</v>
      </c>
      <c r="Y6" s="11">
        <v>3.3</v>
      </c>
    </row>
    <row r="7" spans="1:25">
      <c r="A7" s="7" t="s">
        <v>111</v>
      </c>
      <c r="B7">
        <v>13</v>
      </c>
      <c r="D7" s="7" t="s">
        <v>72</v>
      </c>
      <c r="E7">
        <v>633594</v>
      </c>
      <c r="F7">
        <v>104</v>
      </c>
      <c r="H7" s="7" t="s">
        <v>38</v>
      </c>
      <c r="I7">
        <v>7</v>
      </c>
      <c r="J7">
        <v>6</v>
      </c>
      <c r="K7">
        <v>13</v>
      </c>
      <c r="M7" s="7" t="s">
        <v>30</v>
      </c>
      <c r="N7">
        <v>8</v>
      </c>
      <c r="R7" s="7" t="s">
        <v>96</v>
      </c>
      <c r="S7">
        <v>7</v>
      </c>
      <c r="U7" s="7" t="s">
        <v>102</v>
      </c>
      <c r="V7">
        <v>7</v>
      </c>
      <c r="X7" s="7" t="s">
        <v>81</v>
      </c>
      <c r="Y7" s="11">
        <v>2.25</v>
      </c>
    </row>
    <row r="8" spans="1:25">
      <c r="A8" s="7" t="s">
        <v>215</v>
      </c>
      <c r="B8">
        <v>50</v>
      </c>
      <c r="D8" s="7" t="s">
        <v>50</v>
      </c>
      <c r="E8">
        <v>959266</v>
      </c>
      <c r="F8">
        <v>123</v>
      </c>
      <c r="H8" s="7" t="s">
        <v>59</v>
      </c>
      <c r="I8">
        <v>5</v>
      </c>
      <c r="J8">
        <v>7</v>
      </c>
      <c r="K8">
        <v>12</v>
      </c>
      <c r="M8" s="7" t="s">
        <v>54</v>
      </c>
      <c r="N8">
        <v>19</v>
      </c>
      <c r="R8" s="7" t="s">
        <v>56</v>
      </c>
      <c r="S8">
        <v>11</v>
      </c>
      <c r="U8" s="7" t="s">
        <v>80</v>
      </c>
      <c r="V8">
        <v>10</v>
      </c>
      <c r="X8" s="7" t="s">
        <v>51</v>
      </c>
      <c r="Y8" s="11">
        <v>2.3636363636363638</v>
      </c>
    </row>
    <row r="9" spans="1:25">
      <c r="D9" s="7" t="s">
        <v>25</v>
      </c>
      <c r="E9">
        <v>731170</v>
      </c>
      <c r="F9">
        <v>122</v>
      </c>
      <c r="H9" s="7" t="s">
        <v>98</v>
      </c>
      <c r="I9">
        <v>4</v>
      </c>
      <c r="J9">
        <v>3</v>
      </c>
      <c r="K9">
        <v>7</v>
      </c>
      <c r="M9" s="7" t="s">
        <v>215</v>
      </c>
      <c r="N9">
        <v>50</v>
      </c>
      <c r="R9" s="7" t="s">
        <v>66</v>
      </c>
      <c r="S9">
        <v>9</v>
      </c>
      <c r="U9" s="7" t="s">
        <v>49</v>
      </c>
      <c r="V9">
        <v>9</v>
      </c>
      <c r="X9" s="7" t="s">
        <v>60</v>
      </c>
      <c r="Y9" s="11">
        <v>2.5555555555555554</v>
      </c>
    </row>
    <row r="10" spans="1:25">
      <c r="D10" s="7" t="s">
        <v>215</v>
      </c>
      <c r="E10">
        <v>3104913</v>
      </c>
      <c r="F10">
        <v>487</v>
      </c>
      <c r="H10" s="7" t="s">
        <v>68</v>
      </c>
      <c r="I10">
        <v>4</v>
      </c>
      <c r="J10">
        <v>5</v>
      </c>
      <c r="K10">
        <v>9</v>
      </c>
      <c r="R10" s="7" t="s">
        <v>215</v>
      </c>
      <c r="S10">
        <v>50</v>
      </c>
      <c r="U10" s="7" t="s">
        <v>215</v>
      </c>
      <c r="V10">
        <v>50</v>
      </c>
      <c r="X10" s="7" t="s">
        <v>215</v>
      </c>
      <c r="Y10">
        <v>2.62</v>
      </c>
    </row>
    <row r="11" spans="1:25">
      <c r="A11" s="7" t="s">
        <v>63</v>
      </c>
      <c r="B11">
        <f>IFERROR(GETPIVOTDATA("Full Name",$A$4,"Employment Status",A11),"0")</f>
        <v>17</v>
      </c>
      <c r="H11" s="7" t="s">
        <v>215</v>
      </c>
      <c r="I11">
        <v>26</v>
      </c>
      <c r="J11">
        <v>24</v>
      </c>
      <c r="K11">
        <v>50</v>
      </c>
    </row>
    <row r="12" spans="1:25">
      <c r="A12" s="7" t="s">
        <v>29</v>
      </c>
      <c r="B12">
        <f t="shared" ref="B12:B13" si="0">IFERROR(GETPIVOTDATA("Full Name",$A$4,"Employment Status",A12),"0")</f>
        <v>20</v>
      </c>
    </row>
    <row r="13" spans="1:25">
      <c r="A13" s="7" t="s">
        <v>111</v>
      </c>
      <c r="B13">
        <f t="shared" si="0"/>
        <v>13</v>
      </c>
      <c r="D13" s="7" t="s">
        <v>121</v>
      </c>
      <c r="E13">
        <f>IFERROR(GETPIVOTDATA("Salary",$D$4,"Job Title",D13),"0")</f>
        <v>167041</v>
      </c>
      <c r="F13">
        <f>IFERROR(GETPIVOTDATA("Sum of Leave Taken",$D$4,"Job Title",D13),"0")</f>
        <v>28</v>
      </c>
    </row>
    <row r="14" spans="1:25">
      <c r="A14" s="7" t="s">
        <v>218</v>
      </c>
      <c r="B14">
        <f>SUM(B11:B13)</f>
        <v>50</v>
      </c>
      <c r="D14" s="7" t="s">
        <v>40</v>
      </c>
      <c r="E14">
        <f t="shared" ref="E14:E17" si="1">IFERROR(GETPIVOTDATA("Salary",$D$4,"Job Title",D14),"0")</f>
        <v>613842</v>
      </c>
      <c r="F14">
        <f t="shared" ref="F14:F17" si="2">IFERROR(GETPIVOTDATA("Sum of Leave Taken",$D$4,"Job Title",D14),"0")</f>
        <v>110</v>
      </c>
      <c r="H14" s="7" t="s">
        <v>23</v>
      </c>
      <c r="I14">
        <f>IFERROR(GETPIVOTDATA("Age range",$H$4,"Age range",H14),"0")</f>
        <v>9</v>
      </c>
      <c r="M14" s="7"/>
      <c r="R14" s="7" t="s">
        <v>75</v>
      </c>
      <c r="S14">
        <f>IFERROR(GETPIVOTDATA("Full Name",$R$4,"Skills",R14),"0")</f>
        <v>12</v>
      </c>
      <c r="U14" s="7" t="s">
        <v>39</v>
      </c>
      <c r="V14">
        <f>IFERROR(GETPIVOTDATA("Full Name",$U$4,"Region",U14),"0")</f>
        <v>14</v>
      </c>
      <c r="X14" s="7" t="s">
        <v>26</v>
      </c>
      <c r="Y14" s="12">
        <f>IFERROR(GETPIVOTDATA("Performance Rating",$X$4,"Department",X14),"0")</f>
        <v>2.5833333333333335</v>
      </c>
    </row>
    <row r="15" spans="1:25">
      <c r="D15" s="7" t="s">
        <v>72</v>
      </c>
      <c r="E15">
        <f t="shared" si="1"/>
        <v>633594</v>
      </c>
      <c r="F15">
        <f t="shared" si="2"/>
        <v>104</v>
      </c>
      <c r="H15" s="7" t="s">
        <v>38</v>
      </c>
      <c r="I15">
        <f t="shared" ref="I15:I18" si="3">IFERROR(GETPIVOTDATA("Age range",$H$4,"Age range",H15),"0")</f>
        <v>13</v>
      </c>
      <c r="M15" s="7" t="s">
        <v>44</v>
      </c>
      <c r="N15">
        <f>IFERROR(GETPIVOTDATA("Full Name",$M$5,"Work Location",M15),"0")</f>
        <v>23</v>
      </c>
      <c r="O15" s="9">
        <f t="shared" ref="O15:O17" si="4">SUM(N15)/SUM($N$15:$N$17)</f>
        <v>0.46</v>
      </c>
      <c r="P15" s="10">
        <f>1-O15</f>
        <v>0.54</v>
      </c>
      <c r="R15" s="7" t="s">
        <v>34</v>
      </c>
      <c r="S15">
        <f t="shared" ref="S15:S18" si="5">IFERROR(GETPIVOTDATA("Full Name",$R$4,"Skills",R15),"0")</f>
        <v>11</v>
      </c>
      <c r="U15" s="7" t="s">
        <v>24</v>
      </c>
      <c r="V15">
        <f t="shared" ref="V15:V18" si="6">IFERROR(GETPIVOTDATA("Full Name",$U$4,"Region",U15),"0")</f>
        <v>10</v>
      </c>
      <c r="X15" s="7" t="s">
        <v>41</v>
      </c>
      <c r="Y15" s="12">
        <f t="shared" ref="Y15:Y18" si="7">IFERROR(GETPIVOTDATA("Performance Rating",$X$4,"Department",X15),"0")</f>
        <v>3.3</v>
      </c>
    </row>
    <row r="16" spans="1:25">
      <c r="D16" s="7" t="s">
        <v>50</v>
      </c>
      <c r="E16">
        <f t="shared" si="1"/>
        <v>959266</v>
      </c>
      <c r="F16">
        <f t="shared" si="2"/>
        <v>123</v>
      </c>
      <c r="H16" s="7" t="s">
        <v>59</v>
      </c>
      <c r="I16">
        <f t="shared" si="3"/>
        <v>12</v>
      </c>
      <c r="M16" s="7" t="s">
        <v>30</v>
      </c>
      <c r="N16">
        <f t="shared" ref="N16:N17" si="8">IFERROR(GETPIVOTDATA("Full Name",$M$5,"Work Location",M16),"0")</f>
        <v>8</v>
      </c>
      <c r="O16" s="9">
        <f t="shared" si="4"/>
        <v>0.16</v>
      </c>
      <c r="P16" s="10">
        <f t="shared" ref="P16:P17" si="9">1-O16</f>
        <v>0.84</v>
      </c>
      <c r="R16" s="7" t="s">
        <v>96</v>
      </c>
      <c r="S16">
        <f t="shared" si="5"/>
        <v>7</v>
      </c>
      <c r="U16" s="7" t="s">
        <v>102</v>
      </c>
      <c r="V16">
        <f t="shared" si="6"/>
        <v>7</v>
      </c>
      <c r="X16" s="7" t="s">
        <v>81</v>
      </c>
      <c r="Y16" s="12">
        <f t="shared" si="7"/>
        <v>2.25</v>
      </c>
    </row>
    <row r="17" spans="4:25">
      <c r="D17" s="7" t="s">
        <v>25</v>
      </c>
      <c r="E17">
        <f t="shared" si="1"/>
        <v>731170</v>
      </c>
      <c r="F17">
        <f t="shared" si="2"/>
        <v>122</v>
      </c>
      <c r="H17" s="7" t="s">
        <v>98</v>
      </c>
      <c r="I17">
        <f t="shared" si="3"/>
        <v>7</v>
      </c>
      <c r="M17" s="7" t="s">
        <v>54</v>
      </c>
      <c r="N17">
        <f t="shared" si="8"/>
        <v>19</v>
      </c>
      <c r="O17" s="9">
        <f t="shared" si="4"/>
        <v>0.38</v>
      </c>
      <c r="P17" s="10">
        <f t="shared" si="9"/>
        <v>0.62</v>
      </c>
      <c r="R17" s="7" t="s">
        <v>56</v>
      </c>
      <c r="S17">
        <f t="shared" si="5"/>
        <v>11</v>
      </c>
      <c r="U17" s="7" t="s">
        <v>80</v>
      </c>
      <c r="V17">
        <f t="shared" si="6"/>
        <v>10</v>
      </c>
      <c r="X17" s="7" t="s">
        <v>51</v>
      </c>
      <c r="Y17" s="12">
        <f t="shared" si="7"/>
        <v>2.3636363636363638</v>
      </c>
    </row>
    <row r="18" spans="4:25">
      <c r="D18" s="7" t="s">
        <v>218</v>
      </c>
      <c r="E18">
        <f>SUM(E13:E17)</f>
        <v>3104913</v>
      </c>
      <c r="F18">
        <f>SUM(F13:F17)</f>
        <v>487</v>
      </c>
      <c r="H18" s="7" t="s">
        <v>68</v>
      </c>
      <c r="I18">
        <f t="shared" si="3"/>
        <v>9</v>
      </c>
      <c r="M18" s="7" t="s">
        <v>218</v>
      </c>
      <c r="N18">
        <f>SUM(N15:N17)</f>
        <v>50</v>
      </c>
      <c r="R18" s="7" t="s">
        <v>66</v>
      </c>
      <c r="S18">
        <f t="shared" si="5"/>
        <v>9</v>
      </c>
      <c r="U18" s="7" t="s">
        <v>49</v>
      </c>
      <c r="V18">
        <f t="shared" si="6"/>
        <v>9</v>
      </c>
      <c r="X18" s="7" t="s">
        <v>60</v>
      </c>
      <c r="Y18" s="12">
        <f t="shared" si="7"/>
        <v>2.5555555555555554</v>
      </c>
    </row>
    <row r="19" spans="4:25">
      <c r="H19" s="7" t="s">
        <v>218</v>
      </c>
      <c r="I19">
        <f>SUM(I14:I18)</f>
        <v>50</v>
      </c>
      <c r="R19" s="7" t="s">
        <v>218</v>
      </c>
      <c r="S19">
        <f>SUM(S14:S18)</f>
        <v>50</v>
      </c>
      <c r="U19" s="7" t="s">
        <v>218</v>
      </c>
      <c r="V19">
        <f>SUM(V14:V18)</f>
        <v>50</v>
      </c>
      <c r="X19" s="7" t="s">
        <v>218</v>
      </c>
      <c r="Y19" s="12">
        <f>AVERAGE(Y14:Y18)</f>
        <v>2.6105050505050502</v>
      </c>
    </row>
    <row r="21" spans="4:25">
      <c r="H21" s="7" t="s">
        <v>224</v>
      </c>
      <c r="I21">
        <f>IFERROR(GETPIVOTDATA("Age range",$H$4,"Gender",H21),"0")</f>
        <v>24</v>
      </c>
      <c r="J21" s="9">
        <f t="shared" ref="J21:J22" si="10">SUM(I21)/SUM($I$21:$I$22)</f>
        <v>0.48</v>
      </c>
    </row>
    <row r="22" spans="4:25">
      <c r="H22" s="7" t="s">
        <v>225</v>
      </c>
      <c r="I22">
        <f>IFERROR(GETPIVOTDATA("Age range",$H$4,"Gender",H22),"0")</f>
        <v>26</v>
      </c>
      <c r="J22" s="9">
        <f t="shared" si="10"/>
        <v>0.52</v>
      </c>
    </row>
    <row r="23" spans="4:25">
      <c r="H23" s="7" t="s">
        <v>218</v>
      </c>
      <c r="I23">
        <f>SUM(I21:I22)</f>
        <v>50</v>
      </c>
    </row>
  </sheetData>
  <mergeCells count="7">
    <mergeCell ref="R2:S2"/>
    <mergeCell ref="U2:V2"/>
    <mergeCell ref="X2:Y2"/>
    <mergeCell ref="A2:B2"/>
    <mergeCell ref="D2:E2"/>
    <mergeCell ref="H2:K2"/>
    <mergeCell ref="M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C6" sqref="C6"/>
    </sheetView>
  </sheetViews>
  <sheetFormatPr defaultColWidth="9.21875" defaultRowHeight="13.8"/>
  <cols>
    <col min="1" max="1" width="17.77734375" style="2" bestFit="1" customWidth="1"/>
    <col min="2" max="2" width="18.21875" style="2" bestFit="1" customWidth="1"/>
    <col min="3" max="3" width="12.77734375" style="2" bestFit="1" customWidth="1"/>
    <col min="4" max="4" width="9.5546875" style="2" bestFit="1" customWidth="1"/>
    <col min="5" max="5" width="15.77734375" style="2" bestFit="1" customWidth="1"/>
    <col min="6" max="6" width="12.21875" style="2" bestFit="1" customWidth="1"/>
    <col min="7" max="7" width="14.21875" style="2" bestFit="1" customWidth="1"/>
    <col min="8" max="8" width="17.44140625" style="2" bestFit="1" customWidth="1"/>
    <col min="9" max="9" width="25.77734375" style="2" bestFit="1" customWidth="1"/>
    <col min="10" max="10" width="18" style="2" bestFit="1" customWidth="1"/>
    <col min="11" max="11" width="25" style="2" bestFit="1" customWidth="1"/>
    <col min="12" max="12" width="20.21875" style="2" bestFit="1" customWidth="1"/>
    <col min="13" max="13" width="11.77734375" style="2" bestFit="1" customWidth="1"/>
    <col min="14" max="14" width="16.21875" style="2" bestFit="1" customWidth="1"/>
    <col min="15" max="15" width="24" style="2" bestFit="1" customWidth="1"/>
    <col min="16" max="16" width="22.77734375" style="2" bestFit="1" customWidth="1"/>
    <col min="17" max="17" width="18.21875" style="2" bestFit="1" customWidth="1"/>
    <col min="18" max="18" width="25.44140625" style="2" bestFit="1" customWidth="1"/>
    <col min="19" max="19" width="34" style="2" bestFit="1" customWidth="1"/>
    <col min="20" max="20" width="16" style="2" bestFit="1" customWidth="1"/>
    <col min="21" max="21" width="21.21875" style="2" bestFit="1" customWidth="1"/>
    <col min="22" max="16384" width="9.218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9F59-0E51-40B1-B2A5-231083F57BE7}">
  <dimension ref="C1"/>
  <sheetViews>
    <sheetView showGridLines="0" topLeftCell="A2" zoomScale="86" zoomScaleNormal="68" workbookViewId="0">
      <selection activeCell="U10" sqref="U10"/>
    </sheetView>
  </sheetViews>
  <sheetFormatPr defaultColWidth="8.77734375" defaultRowHeight="13.8"/>
  <cols>
    <col min="1" max="16384" width="8.77734375" style="5"/>
  </cols>
  <sheetData>
    <row r="1" spans="3:3">
      <c r="C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1804-85A2-487D-BAF6-CA55130F42A5}">
  <dimension ref="A1:A68"/>
  <sheetViews>
    <sheetView tabSelected="1" topLeftCell="A55" workbookViewId="0">
      <selection sqref="A1:A68"/>
    </sheetView>
  </sheetViews>
  <sheetFormatPr defaultRowHeight="14.4"/>
  <sheetData>
    <row r="1" spans="1:1" ht="18">
      <c r="A1" s="14" t="s">
        <v>230</v>
      </c>
    </row>
    <row r="2" spans="1:1">
      <c r="A2" s="15"/>
    </row>
    <row r="3" spans="1:1">
      <c r="A3" s="15" t="s">
        <v>231</v>
      </c>
    </row>
    <row r="4" spans="1:1">
      <c r="A4" s="15"/>
    </row>
    <row r="5" spans="1:1">
      <c r="A5" s="15" t="s">
        <v>232</v>
      </c>
    </row>
    <row r="6" spans="1:1">
      <c r="A6" s="15"/>
    </row>
    <row r="7" spans="1:1">
      <c r="A7" s="15" t="s">
        <v>233</v>
      </c>
    </row>
    <row r="8" spans="1:1">
      <c r="A8" s="15"/>
    </row>
    <row r="9" spans="1:1">
      <c r="A9" s="15" t="s">
        <v>234</v>
      </c>
    </row>
    <row r="13" spans="1:1" ht="18">
      <c r="A13" s="14" t="s">
        <v>235</v>
      </c>
    </row>
    <row r="14" spans="1:1">
      <c r="A14" s="15"/>
    </row>
    <row r="15" spans="1:1">
      <c r="A15" s="15" t="s">
        <v>236</v>
      </c>
    </row>
    <row r="16" spans="1:1">
      <c r="A16" s="15" t="s">
        <v>237</v>
      </c>
    </row>
    <row r="20" spans="1:1" ht="18">
      <c r="A20" s="14" t="s">
        <v>238</v>
      </c>
    </row>
    <row r="21" spans="1:1">
      <c r="A21" s="15"/>
    </row>
    <row r="22" spans="1:1">
      <c r="A22" s="15" t="s">
        <v>239</v>
      </c>
    </row>
    <row r="23" spans="1:1">
      <c r="A23" s="15" t="s">
        <v>240</v>
      </c>
    </row>
    <row r="27" spans="1:1" ht="18">
      <c r="A27" s="14" t="s">
        <v>241</v>
      </c>
    </row>
    <row r="28" spans="1:1">
      <c r="A28" s="15"/>
    </row>
    <row r="29" spans="1:1">
      <c r="A29" s="15" t="s">
        <v>242</v>
      </c>
    </row>
    <row r="30" spans="1:1">
      <c r="A30" s="15" t="s">
        <v>243</v>
      </c>
    </row>
    <row r="34" spans="1:1" ht="18">
      <c r="A34" s="14" t="s">
        <v>244</v>
      </c>
    </row>
    <row r="35" spans="1:1">
      <c r="A35" s="15"/>
    </row>
    <row r="36" spans="1:1">
      <c r="A36" s="15" t="s">
        <v>245</v>
      </c>
    </row>
    <row r="37" spans="1:1">
      <c r="A37" s="15" t="s">
        <v>246</v>
      </c>
    </row>
    <row r="41" spans="1:1" ht="18">
      <c r="A41" s="14" t="s">
        <v>247</v>
      </c>
    </row>
    <row r="42" spans="1:1">
      <c r="A42" s="15"/>
    </row>
    <row r="43" spans="1:1">
      <c r="A43" s="15" t="s">
        <v>248</v>
      </c>
    </row>
    <row r="44" spans="1:1">
      <c r="A44" s="15" t="s">
        <v>249</v>
      </c>
    </row>
    <row r="48" spans="1:1" ht="18">
      <c r="A48" s="14" t="s">
        <v>250</v>
      </c>
    </row>
    <row r="49" spans="1:1">
      <c r="A49" s="15"/>
    </row>
    <row r="50" spans="1:1">
      <c r="A50" s="15" t="s">
        <v>251</v>
      </c>
    </row>
    <row r="51" spans="1:1">
      <c r="A51" s="15"/>
    </row>
    <row r="52" spans="1:1">
      <c r="A52" s="15" t="s">
        <v>252</v>
      </c>
    </row>
    <row r="53" spans="1:1">
      <c r="A53" s="15" t="s">
        <v>253</v>
      </c>
    </row>
    <row r="57" spans="1:1" ht="18">
      <c r="A57" s="14" t="s">
        <v>254</v>
      </c>
    </row>
    <row r="58" spans="1:1">
      <c r="A58" s="15"/>
    </row>
    <row r="59" spans="1:1">
      <c r="A59" s="15" t="s">
        <v>255</v>
      </c>
    </row>
    <row r="60" spans="1:1">
      <c r="A60" s="15" t="s">
        <v>256</v>
      </c>
    </row>
    <row r="64" spans="1:1" ht="18">
      <c r="A64" s="14" t="s">
        <v>257</v>
      </c>
    </row>
    <row r="65" spans="1:1">
      <c r="A65" s="15"/>
    </row>
    <row r="66" spans="1:1">
      <c r="A66" s="15" t="s">
        <v>258</v>
      </c>
    </row>
    <row r="67" spans="1:1">
      <c r="A67" s="15"/>
    </row>
    <row r="68" spans="1:1">
      <c r="A68" s="15"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achu skillmount</cp:lastModifiedBy>
  <dcterms:created xsi:type="dcterms:W3CDTF">2024-12-11T17:14:33Z</dcterms:created>
  <dcterms:modified xsi:type="dcterms:W3CDTF">2026-02-13T14:12:36Z</dcterms:modified>
</cp:coreProperties>
</file>